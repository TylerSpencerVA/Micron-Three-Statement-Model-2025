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df6c5ece268d3f/Documents/Professional/Finance Modeling Projects/Micron FSM/"/>
    </mc:Choice>
  </mc:AlternateContent>
  <xr:revisionPtr revIDLastSave="55" documentId="8_{ACB78E49-167D-4281-B65D-DB74B61CB904}" xr6:coauthVersionLast="47" xr6:coauthVersionMax="47" xr10:uidLastSave="{C88F11C1-224D-4E3C-8082-BC67663377D6}"/>
  <bookViews>
    <workbookView xWindow="-28920" yWindow="-120" windowWidth="29040" windowHeight="15840" xr2:uid="{290D46E5-3F9E-47F2-82EA-07C5FF78B19B}"/>
  </bookViews>
  <sheets>
    <sheet name="FSM Forecast" sheetId="1" r:id="rId1"/>
    <sheet name="Revenue Build" sheetId="2" r:id="rId2"/>
    <sheet name="Sheet3" sheetId="3" state="hidden" r:id="rId3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F177" i="1"/>
  <c r="G235" i="1"/>
  <c r="G22" i="2"/>
  <c r="G8" i="2" s="1"/>
  <c r="F11" i="2"/>
  <c r="H23" i="2"/>
  <c r="I23" i="2"/>
  <c r="J23" i="2"/>
  <c r="K23" i="2"/>
  <c r="G23" i="2"/>
  <c r="G9" i="2" s="1"/>
  <c r="H22" i="2"/>
  <c r="I22" i="2"/>
  <c r="J22" i="2"/>
  <c r="K22" i="2"/>
  <c r="F4" i="2"/>
  <c r="F16" i="1"/>
  <c r="E4" i="2"/>
  <c r="K4" i="2"/>
  <c r="J4" i="2"/>
  <c r="I4" i="2"/>
  <c r="H4" i="2"/>
  <c r="G4" i="2"/>
  <c r="I3" i="2"/>
  <c r="J3" i="2" s="1"/>
  <c r="K3" i="2" s="1"/>
  <c r="F10" i="2"/>
  <c r="E10" i="2"/>
  <c r="G227" i="1"/>
  <c r="E179" i="1"/>
  <c r="G238" i="1"/>
  <c r="D179" i="1"/>
  <c r="K227" i="1"/>
  <c r="J227" i="1"/>
  <c r="I227" i="1"/>
  <c r="H227" i="1"/>
  <c r="K232" i="1"/>
  <c r="J232" i="1"/>
  <c r="I232" i="1"/>
  <c r="H232" i="1"/>
  <c r="G232" i="1"/>
  <c r="G243" i="1"/>
  <c r="H243" i="1"/>
  <c r="I243" i="1"/>
  <c r="J243" i="1"/>
  <c r="K243" i="1"/>
  <c r="H236" i="1"/>
  <c r="I236" i="1" s="1"/>
  <c r="J236" i="1" s="1"/>
  <c r="K236" i="1" s="1"/>
  <c r="K235" i="1" s="1"/>
  <c r="J235" i="1" l="1"/>
  <c r="I235" i="1"/>
  <c r="H235" i="1"/>
  <c r="G226" i="1"/>
  <c r="G228" i="1" s="1"/>
  <c r="H8" i="2"/>
  <c r="I8" i="2" s="1"/>
  <c r="J8" i="2" s="1"/>
  <c r="K8" i="2" s="1"/>
  <c r="K226" i="1" s="1"/>
  <c r="K228" i="1" s="1"/>
  <c r="H9" i="2"/>
  <c r="G231" i="1"/>
  <c r="H238" i="1"/>
  <c r="G10" i="2"/>
  <c r="G11" i="2" s="1"/>
  <c r="K238" i="1"/>
  <c r="J238" i="1"/>
  <c r="I238" i="1"/>
  <c r="J226" i="1" l="1"/>
  <c r="J225" i="1" s="1"/>
  <c r="H226" i="1"/>
  <c r="H225" i="1" s="1"/>
  <c r="H10" i="2"/>
  <c r="H11" i="2" s="1"/>
  <c r="I226" i="1"/>
  <c r="I228" i="1" s="1"/>
  <c r="G225" i="1"/>
  <c r="K225" i="1"/>
  <c r="G233" i="1"/>
  <c r="G230" i="1"/>
  <c r="I9" i="2"/>
  <c r="H231" i="1"/>
  <c r="I225" i="1" l="1"/>
  <c r="H228" i="1"/>
  <c r="J228" i="1"/>
  <c r="H230" i="1"/>
  <c r="H233" i="1"/>
  <c r="J9" i="2"/>
  <c r="I231" i="1"/>
  <c r="I10" i="2"/>
  <c r="I11" i="2" s="1"/>
  <c r="F179" i="1"/>
  <c r="H240" i="1"/>
  <c r="I240" i="1"/>
  <c r="J240" i="1"/>
  <c r="K240" i="1"/>
  <c r="G240" i="1"/>
  <c r="H245" i="1"/>
  <c r="I245" i="1"/>
  <c r="J245" i="1"/>
  <c r="K245" i="1"/>
  <c r="G245" i="1"/>
  <c r="D212" i="1"/>
  <c r="E74" i="1"/>
  <c r="G160" i="1"/>
  <c r="G162" i="1" s="1"/>
  <c r="H160" i="1"/>
  <c r="H162" i="1" s="1"/>
  <c r="I160" i="1"/>
  <c r="I162" i="1" s="1"/>
  <c r="I164" i="1" s="1"/>
  <c r="J160" i="1"/>
  <c r="J162" i="1" s="1"/>
  <c r="K160" i="1"/>
  <c r="K162" i="1" s="1"/>
  <c r="F169" i="1"/>
  <c r="F152" i="1"/>
  <c r="E152" i="1"/>
  <c r="G53" i="1"/>
  <c r="H53" i="1" s="1"/>
  <c r="I53" i="1" s="1"/>
  <c r="J53" i="1" s="1"/>
  <c r="K53" i="1" s="1"/>
  <c r="H94" i="1"/>
  <c r="I94" i="1"/>
  <c r="J94" i="1"/>
  <c r="K94" i="1"/>
  <c r="G94" i="1"/>
  <c r="E48" i="1"/>
  <c r="E169" i="1"/>
  <c r="D169" i="1"/>
  <c r="E156" i="1"/>
  <c r="E157" i="1" s="1"/>
  <c r="F156" i="1"/>
  <c r="D152" i="1"/>
  <c r="E145" i="1"/>
  <c r="F145" i="1"/>
  <c r="G142" i="1" s="1"/>
  <c r="I233" i="1" l="1"/>
  <c r="I230" i="1"/>
  <c r="K9" i="2"/>
  <c r="J231" i="1"/>
  <c r="J10" i="2"/>
  <c r="J11" i="2" s="1"/>
  <c r="F219" i="1"/>
  <c r="F218" i="1"/>
  <c r="F217" i="1"/>
  <c r="F222" i="1"/>
  <c r="F220" i="1"/>
  <c r="F216" i="1"/>
  <c r="F221" i="1"/>
  <c r="G216" i="1"/>
  <c r="H220" i="1"/>
  <c r="H40" i="1" s="1"/>
  <c r="G217" i="1"/>
  <c r="G220" i="1"/>
  <c r="G40" i="1" s="1"/>
  <c r="G221" i="1"/>
  <c r="G41" i="1" s="1"/>
  <c r="I217" i="1"/>
  <c r="G222" i="1"/>
  <c r="G42" i="1" s="1"/>
  <c r="H217" i="1"/>
  <c r="K221" i="1"/>
  <c r="K41" i="1" s="1"/>
  <c r="J222" i="1"/>
  <c r="J42" i="1" s="1"/>
  <c r="J221" i="1"/>
  <c r="J41" i="1" s="1"/>
  <c r="K222" i="1"/>
  <c r="K42" i="1" s="1"/>
  <c r="H216" i="1"/>
  <c r="I222" i="1"/>
  <c r="I42" i="1" s="1"/>
  <c r="H222" i="1"/>
  <c r="H42" i="1" s="1"/>
  <c r="I221" i="1"/>
  <c r="I41" i="1" s="1"/>
  <c r="H221" i="1"/>
  <c r="H41" i="1" s="1"/>
  <c r="K220" i="1"/>
  <c r="K40" i="1" s="1"/>
  <c r="J220" i="1"/>
  <c r="J40" i="1" s="1"/>
  <c r="I220" i="1"/>
  <c r="I40" i="1" s="1"/>
  <c r="E164" i="1"/>
  <c r="K164" i="1"/>
  <c r="H164" i="1"/>
  <c r="G164" i="1"/>
  <c r="J164" i="1"/>
  <c r="F157" i="1"/>
  <c r="F164" i="1" s="1"/>
  <c r="J233" i="1" l="1"/>
  <c r="J230" i="1"/>
  <c r="K231" i="1"/>
  <c r="K10" i="2"/>
  <c r="K11" i="2" s="1"/>
  <c r="J217" i="1"/>
  <c r="G218" i="1"/>
  <c r="G219" i="1" s="1"/>
  <c r="G39" i="1" s="1"/>
  <c r="G61" i="1" s="1"/>
  <c r="H218" i="1"/>
  <c r="I216" i="1"/>
  <c r="I218" i="1" s="1"/>
  <c r="H91" i="1"/>
  <c r="H92" i="1" s="1"/>
  <c r="I91" i="1"/>
  <c r="I92" i="1" s="1"/>
  <c r="J91" i="1"/>
  <c r="J92" i="1" s="1"/>
  <c r="K91" i="1"/>
  <c r="K92" i="1" s="1"/>
  <c r="G91" i="1"/>
  <c r="G92" i="1" s="1"/>
  <c r="G127" i="1"/>
  <c r="H127" i="1" s="1"/>
  <c r="G128" i="1"/>
  <c r="H128" i="1" s="1"/>
  <c r="E129" i="1"/>
  <c r="F129" i="1"/>
  <c r="G125" i="1" s="1"/>
  <c r="F122" i="1"/>
  <c r="G119" i="1" s="1"/>
  <c r="E122" i="1"/>
  <c r="H115" i="1"/>
  <c r="I115" i="1" s="1"/>
  <c r="J115" i="1" s="1"/>
  <c r="K115" i="1" s="1"/>
  <c r="E116" i="1"/>
  <c r="E114" i="1" s="1"/>
  <c r="E115" i="1" s="1"/>
  <c r="F116" i="1"/>
  <c r="F114" i="1" s="1"/>
  <c r="F115" i="1" s="1"/>
  <c r="E109" i="1"/>
  <c r="D116" i="1"/>
  <c r="D114" i="1" s="1"/>
  <c r="D115" i="1" s="1"/>
  <c r="H111" i="1"/>
  <c r="H108" i="1" s="1"/>
  <c r="F109" i="1"/>
  <c r="G106" i="1" s="1"/>
  <c r="G108" i="1"/>
  <c r="G18" i="1" l="1"/>
  <c r="G21" i="1" s="1"/>
  <c r="G49" i="1"/>
  <c r="K233" i="1"/>
  <c r="K230" i="1"/>
  <c r="K217" i="1"/>
  <c r="I219" i="1"/>
  <c r="I39" i="1" s="1"/>
  <c r="H219" i="1"/>
  <c r="H39" i="1" s="1"/>
  <c r="K216" i="1"/>
  <c r="J216" i="1"/>
  <c r="J218" i="1" s="1"/>
  <c r="G96" i="1"/>
  <c r="G97" i="1"/>
  <c r="I127" i="1"/>
  <c r="H97" i="1"/>
  <c r="I128" i="1"/>
  <c r="H96" i="1"/>
  <c r="G109" i="1"/>
  <c r="I111" i="1"/>
  <c r="I108" i="1" s="1"/>
  <c r="G22" i="1" l="1"/>
  <c r="K218" i="1"/>
  <c r="K219" i="1" s="1"/>
  <c r="K39" i="1" s="1"/>
  <c r="H18" i="1"/>
  <c r="J219" i="1"/>
  <c r="J39" i="1" s="1"/>
  <c r="J111" i="1"/>
  <c r="J108" i="1" s="1"/>
  <c r="J128" i="1"/>
  <c r="I96" i="1"/>
  <c r="H106" i="1"/>
  <c r="H109" i="1" s="1"/>
  <c r="G52" i="1"/>
  <c r="I97" i="1"/>
  <c r="J127" i="1"/>
  <c r="H22" i="1" l="1"/>
  <c r="H21" i="1"/>
  <c r="I18" i="1"/>
  <c r="I22" i="1" s="1"/>
  <c r="K111" i="1"/>
  <c r="K108" i="1" s="1"/>
  <c r="J97" i="1"/>
  <c r="K127" i="1"/>
  <c r="K97" i="1" s="1"/>
  <c r="I106" i="1"/>
  <c r="I109" i="1" s="1"/>
  <c r="H52" i="1"/>
  <c r="K128" i="1"/>
  <c r="K96" i="1" s="1"/>
  <c r="J96" i="1"/>
  <c r="I21" i="1" l="1"/>
  <c r="J18" i="1"/>
  <c r="J106" i="1"/>
  <c r="J109" i="1" s="1"/>
  <c r="I52" i="1"/>
  <c r="D111" i="1"/>
  <c r="F111" i="1"/>
  <c r="E111" i="1"/>
  <c r="G66" i="1"/>
  <c r="G88" i="1" s="1"/>
  <c r="H61" i="1"/>
  <c r="I61" i="1" s="1"/>
  <c r="J61" i="1" s="1"/>
  <c r="K61" i="1" s="1"/>
  <c r="G57" i="1"/>
  <c r="G51" i="1"/>
  <c r="H51" i="1" s="1"/>
  <c r="I51" i="1" s="1"/>
  <c r="J51" i="1" s="1"/>
  <c r="K51" i="1" s="1"/>
  <c r="H49" i="1"/>
  <c r="G114" i="1"/>
  <c r="G116" i="1" s="1"/>
  <c r="K18" i="1" l="1"/>
  <c r="K22" i="1" s="1"/>
  <c r="J22" i="1"/>
  <c r="J21" i="1"/>
  <c r="H66" i="1"/>
  <c r="I66" i="1" s="1"/>
  <c r="G33" i="1"/>
  <c r="G83" i="1" s="1"/>
  <c r="G120" i="1"/>
  <c r="H57" i="1"/>
  <c r="G122" i="1"/>
  <c r="K106" i="1"/>
  <c r="K109" i="1" s="1"/>
  <c r="K52" i="1" s="1"/>
  <c r="J52" i="1"/>
  <c r="I49" i="1"/>
  <c r="K21" i="1" l="1"/>
  <c r="H88" i="1"/>
  <c r="G121" i="1"/>
  <c r="G87" i="1" s="1"/>
  <c r="H119" i="1"/>
  <c r="I57" i="1"/>
  <c r="H122" i="1"/>
  <c r="I119" i="1" s="1"/>
  <c r="J66" i="1"/>
  <c r="I88" i="1"/>
  <c r="J49" i="1"/>
  <c r="K66" i="1" l="1"/>
  <c r="K88" i="1" s="1"/>
  <c r="J88" i="1"/>
  <c r="J57" i="1"/>
  <c r="I122" i="1"/>
  <c r="K49" i="1"/>
  <c r="J119" i="1" l="1"/>
  <c r="K57" i="1"/>
  <c r="K122" i="1" s="1"/>
  <c r="J122" i="1"/>
  <c r="K119" i="1" s="1"/>
  <c r="G20" i="1"/>
  <c r="G25" i="1" s="1"/>
  <c r="G35" i="1"/>
  <c r="G183" i="1" s="1"/>
  <c r="G28" i="1"/>
  <c r="H28" i="1" s="1"/>
  <c r="I28" i="1" s="1"/>
  <c r="J28" i="1" s="1"/>
  <c r="F39" i="1"/>
  <c r="E67" i="1"/>
  <c r="F48" i="1"/>
  <c r="E58" i="1"/>
  <c r="F67" i="1"/>
  <c r="F150" i="1"/>
  <c r="F133" i="1"/>
  <c r="F104" i="1"/>
  <c r="F47" i="1"/>
  <c r="K133" i="1"/>
  <c r="J133" i="1"/>
  <c r="I133" i="1"/>
  <c r="H133" i="1"/>
  <c r="G133" i="1"/>
  <c r="E133" i="1"/>
  <c r="D133" i="1"/>
  <c r="H132" i="1"/>
  <c r="I132" i="1" s="1"/>
  <c r="J132" i="1" s="1"/>
  <c r="K132" i="1" s="1"/>
  <c r="E132" i="1"/>
  <c r="D132" i="1" s="1"/>
  <c r="K150" i="1"/>
  <c r="J150" i="1"/>
  <c r="I150" i="1"/>
  <c r="H150" i="1"/>
  <c r="G150" i="1"/>
  <c r="E150" i="1"/>
  <c r="D150" i="1"/>
  <c r="H149" i="1"/>
  <c r="I149" i="1" s="1"/>
  <c r="J149" i="1" s="1"/>
  <c r="K149" i="1" s="1"/>
  <c r="E149" i="1"/>
  <c r="D149" i="1" s="1"/>
  <c r="K104" i="1"/>
  <c r="J104" i="1"/>
  <c r="I104" i="1"/>
  <c r="H104" i="1"/>
  <c r="G104" i="1"/>
  <c r="E104" i="1"/>
  <c r="D104" i="1"/>
  <c r="H103" i="1"/>
  <c r="I103" i="1" s="1"/>
  <c r="J103" i="1" s="1"/>
  <c r="K103" i="1" s="1"/>
  <c r="E103" i="1"/>
  <c r="D103" i="1" s="1"/>
  <c r="K80" i="1"/>
  <c r="J80" i="1"/>
  <c r="I80" i="1"/>
  <c r="H80" i="1"/>
  <c r="G80" i="1"/>
  <c r="H79" i="1"/>
  <c r="I79" i="1" s="1"/>
  <c r="J79" i="1" s="1"/>
  <c r="K79" i="1" s="1"/>
  <c r="K47" i="1"/>
  <c r="J47" i="1"/>
  <c r="I47" i="1"/>
  <c r="H47" i="1"/>
  <c r="G47" i="1"/>
  <c r="E47" i="1"/>
  <c r="H46" i="1"/>
  <c r="I46" i="1" s="1"/>
  <c r="J46" i="1" s="1"/>
  <c r="K46" i="1" s="1"/>
  <c r="E46" i="1"/>
  <c r="E41" i="1"/>
  <c r="F41" i="1"/>
  <c r="E42" i="1"/>
  <c r="F42" i="1"/>
  <c r="D42" i="1"/>
  <c r="D41" i="1"/>
  <c r="E39" i="1"/>
  <c r="D16" i="1"/>
  <c r="D173" i="1" s="1"/>
  <c r="E16" i="1"/>
  <c r="K16" i="1"/>
  <c r="K173" i="1" s="1"/>
  <c r="J16" i="1"/>
  <c r="J173" i="1" s="1"/>
  <c r="I16" i="1"/>
  <c r="I173" i="1" s="1"/>
  <c r="H16" i="1"/>
  <c r="H173" i="1" s="1"/>
  <c r="G16" i="1"/>
  <c r="K182" i="1"/>
  <c r="J182" i="1"/>
  <c r="I182" i="1"/>
  <c r="H182" i="1"/>
  <c r="G182" i="1"/>
  <c r="C173" i="1"/>
  <c r="G172" i="1"/>
  <c r="F172" i="1"/>
  <c r="C172" i="1"/>
  <c r="I248" i="1"/>
  <c r="H248" i="1"/>
  <c r="G248" i="1"/>
  <c r="G214" i="1"/>
  <c r="C150" i="1"/>
  <c r="C149" i="1"/>
  <c r="C133" i="1"/>
  <c r="C132" i="1"/>
  <c r="F20" i="1"/>
  <c r="F25" i="1" s="1"/>
  <c r="E20" i="1"/>
  <c r="D20" i="1"/>
  <c r="F173" i="1"/>
  <c r="H15" i="1"/>
  <c r="I15" i="1" s="1"/>
  <c r="E15" i="1"/>
  <c r="D15" i="1" s="1"/>
  <c r="D172" i="1" s="1"/>
  <c r="C2" i="1"/>
  <c r="E76" i="1" l="1"/>
  <c r="D25" i="1"/>
  <c r="D29" i="1" s="1"/>
  <c r="E25" i="1"/>
  <c r="E29" i="1" s="1"/>
  <c r="G73" i="1"/>
  <c r="H73" i="1" s="1"/>
  <c r="F74" i="1"/>
  <c r="J248" i="1"/>
  <c r="H215" i="1"/>
  <c r="I114" i="1"/>
  <c r="I116" i="1" s="1"/>
  <c r="H114" i="1"/>
  <c r="H116" i="1" s="1"/>
  <c r="G84" i="1"/>
  <c r="G69" i="1"/>
  <c r="F58" i="1"/>
  <c r="G136" i="1"/>
  <c r="J15" i="1"/>
  <c r="I172" i="1"/>
  <c r="I214" i="1"/>
  <c r="K248" i="1"/>
  <c r="H214" i="1"/>
  <c r="E172" i="1"/>
  <c r="H172" i="1"/>
  <c r="I215" i="1"/>
  <c r="J215" i="1"/>
  <c r="H35" i="1"/>
  <c r="K215" i="1"/>
  <c r="G34" i="1"/>
  <c r="G36" i="1" s="1"/>
  <c r="G19" i="1"/>
  <c r="D40" i="1"/>
  <c r="F40" i="1"/>
  <c r="E40" i="1"/>
  <c r="H20" i="1"/>
  <c r="H19" i="1" s="1"/>
  <c r="K28" i="1"/>
  <c r="F34" i="1"/>
  <c r="F36" i="1" s="1"/>
  <c r="F29" i="1"/>
  <c r="G173" i="1"/>
  <c r="G215" i="1"/>
  <c r="E173" i="1"/>
  <c r="G50" i="1" l="1"/>
  <c r="G60" i="1"/>
  <c r="H60" i="1" s="1"/>
  <c r="E34" i="1"/>
  <c r="E36" i="1" s="1"/>
  <c r="D34" i="1"/>
  <c r="D36" i="1" s="1"/>
  <c r="K114" i="1"/>
  <c r="K116" i="1" s="1"/>
  <c r="I20" i="1"/>
  <c r="I19" i="1" s="1"/>
  <c r="E43" i="1"/>
  <c r="E31" i="1"/>
  <c r="E126" i="1" s="1"/>
  <c r="D31" i="1"/>
  <c r="D43" i="1"/>
  <c r="F76" i="1"/>
  <c r="I83" i="1"/>
  <c r="I33" i="1"/>
  <c r="H83" i="1"/>
  <c r="H33" i="1"/>
  <c r="H69" i="1"/>
  <c r="H120" i="1"/>
  <c r="H121" i="1" s="1"/>
  <c r="H87" i="1" s="1"/>
  <c r="I120" i="1"/>
  <c r="I121" i="1" s="1"/>
  <c r="I87" i="1" s="1"/>
  <c r="I73" i="1"/>
  <c r="H84" i="1"/>
  <c r="I35" i="1"/>
  <c r="H183" i="1"/>
  <c r="K15" i="1"/>
  <c r="J172" i="1"/>
  <c r="J214" i="1"/>
  <c r="F31" i="1"/>
  <c r="F175" i="1" s="1"/>
  <c r="F43" i="1"/>
  <c r="H25" i="1"/>
  <c r="H50" i="1" l="1"/>
  <c r="H85" i="1" s="1"/>
  <c r="G85" i="1"/>
  <c r="G86" i="1"/>
  <c r="I60" i="1"/>
  <c r="F180" i="1"/>
  <c r="J114" i="1"/>
  <c r="J116" i="1" s="1"/>
  <c r="J83" i="1" s="1"/>
  <c r="J20" i="1"/>
  <c r="J19" i="1" s="1"/>
  <c r="E175" i="1"/>
  <c r="I25" i="1"/>
  <c r="I34" i="1" s="1"/>
  <c r="I36" i="1" s="1"/>
  <c r="D126" i="1"/>
  <c r="D175" i="1"/>
  <c r="K83" i="1"/>
  <c r="K33" i="1"/>
  <c r="K120" i="1"/>
  <c r="K121" i="1" s="1"/>
  <c r="K87" i="1" s="1"/>
  <c r="E177" i="1"/>
  <c r="E180" i="1"/>
  <c r="F126" i="1"/>
  <c r="I69" i="1"/>
  <c r="J73" i="1"/>
  <c r="K172" i="1"/>
  <c r="K214" i="1"/>
  <c r="J35" i="1"/>
  <c r="I84" i="1"/>
  <c r="I183" i="1"/>
  <c r="H86" i="1"/>
  <c r="H34" i="1"/>
  <c r="H36" i="1" s="1"/>
  <c r="K20" i="1"/>
  <c r="K19" i="1" s="1"/>
  <c r="I50" i="1" l="1"/>
  <c r="I85" i="1" s="1"/>
  <c r="J60" i="1"/>
  <c r="K60" i="1" s="1"/>
  <c r="J120" i="1"/>
  <c r="J121" i="1" s="1"/>
  <c r="J87" i="1" s="1"/>
  <c r="J33" i="1"/>
  <c r="J25" i="1"/>
  <c r="D180" i="1"/>
  <c r="D177" i="1"/>
  <c r="J69" i="1"/>
  <c r="I86" i="1"/>
  <c r="J84" i="1"/>
  <c r="J183" i="1"/>
  <c r="K35" i="1"/>
  <c r="K73" i="1"/>
  <c r="K25" i="1"/>
  <c r="J50" i="1" l="1"/>
  <c r="K50" i="1" s="1"/>
  <c r="K69" i="1"/>
  <c r="J34" i="1"/>
  <c r="J36" i="1" s="1"/>
  <c r="K183" i="1"/>
  <c r="K84" i="1"/>
  <c r="J86" i="1"/>
  <c r="K34" i="1"/>
  <c r="K36" i="1" s="1"/>
  <c r="J85" i="1" l="1"/>
  <c r="K86" i="1"/>
  <c r="K85" i="1"/>
  <c r="G26" i="1"/>
  <c r="H26" i="1"/>
  <c r="I26" i="1"/>
  <c r="J26" i="1"/>
  <c r="K26" i="1"/>
  <c r="G27" i="1"/>
  <c r="H27" i="1"/>
  <c r="I27" i="1"/>
  <c r="J27" i="1"/>
  <c r="K27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48" i="1"/>
  <c r="H48" i="1"/>
  <c r="I48" i="1"/>
  <c r="J48" i="1"/>
  <c r="K48" i="1"/>
  <c r="G58" i="1"/>
  <c r="H58" i="1"/>
  <c r="I58" i="1"/>
  <c r="J58" i="1"/>
  <c r="K58" i="1"/>
  <c r="G62" i="1"/>
  <c r="H62" i="1"/>
  <c r="I62" i="1"/>
  <c r="J62" i="1"/>
  <c r="K62" i="1"/>
  <c r="G67" i="1"/>
  <c r="H67" i="1"/>
  <c r="I67" i="1"/>
  <c r="J67" i="1"/>
  <c r="K67" i="1"/>
  <c r="G71" i="1"/>
  <c r="H71" i="1"/>
  <c r="I71" i="1"/>
  <c r="J71" i="1"/>
  <c r="K71" i="1"/>
  <c r="G74" i="1"/>
  <c r="H74" i="1"/>
  <c r="I74" i="1"/>
  <c r="J74" i="1"/>
  <c r="K74" i="1"/>
  <c r="G76" i="1"/>
  <c r="H76" i="1"/>
  <c r="I76" i="1"/>
  <c r="J76" i="1"/>
  <c r="K76" i="1"/>
  <c r="G82" i="1"/>
  <c r="H82" i="1"/>
  <c r="I82" i="1"/>
  <c r="J82" i="1"/>
  <c r="K82" i="1"/>
  <c r="G89" i="1"/>
  <c r="H89" i="1"/>
  <c r="I89" i="1"/>
  <c r="J89" i="1"/>
  <c r="K89" i="1"/>
  <c r="G95" i="1"/>
  <c r="H95" i="1"/>
  <c r="I95" i="1"/>
  <c r="J95" i="1"/>
  <c r="K95" i="1"/>
  <c r="G98" i="1"/>
  <c r="H98" i="1"/>
  <c r="I98" i="1"/>
  <c r="J98" i="1"/>
  <c r="K98" i="1"/>
  <c r="G100" i="1"/>
  <c r="H100" i="1"/>
  <c r="I100" i="1"/>
  <c r="J100" i="1"/>
  <c r="K100" i="1"/>
  <c r="H125" i="1"/>
  <c r="I125" i="1"/>
  <c r="J125" i="1"/>
  <c r="K125" i="1"/>
  <c r="G126" i="1"/>
  <c r="H126" i="1"/>
  <c r="I126" i="1"/>
  <c r="J126" i="1"/>
  <c r="K126" i="1"/>
  <c r="G129" i="1"/>
  <c r="H129" i="1"/>
  <c r="I129" i="1"/>
  <c r="J129" i="1"/>
  <c r="K129" i="1"/>
  <c r="H136" i="1"/>
  <c r="I136" i="1"/>
  <c r="J136" i="1"/>
  <c r="K136" i="1"/>
  <c r="G138" i="1"/>
  <c r="H138" i="1"/>
  <c r="I138" i="1"/>
  <c r="J138" i="1"/>
  <c r="K138" i="1"/>
  <c r="G139" i="1"/>
  <c r="H139" i="1"/>
  <c r="I139" i="1"/>
  <c r="J139" i="1"/>
  <c r="K139" i="1"/>
  <c r="H142" i="1"/>
  <c r="I142" i="1"/>
  <c r="J142" i="1"/>
  <c r="K142" i="1"/>
  <c r="G143" i="1"/>
  <c r="H143" i="1"/>
  <c r="I143" i="1"/>
  <c r="J143" i="1"/>
  <c r="K143" i="1"/>
  <c r="G145" i="1"/>
  <c r="H145" i="1"/>
  <c r="I145" i="1"/>
  <c r="J145" i="1"/>
  <c r="K145" i="1"/>
  <c r="G146" i="1"/>
  <c r="H146" i="1"/>
  <c r="I146" i="1"/>
  <c r="J146" i="1"/>
  <c r="K146" i="1"/>
  <c r="G152" i="1"/>
  <c r="H152" i="1"/>
  <c r="I152" i="1"/>
  <c r="J152" i="1"/>
  <c r="K152" i="1"/>
  <c r="G156" i="1"/>
  <c r="H156" i="1"/>
  <c r="I156" i="1"/>
  <c r="J156" i="1"/>
  <c r="K156" i="1"/>
  <c r="G157" i="1"/>
  <c r="H157" i="1"/>
  <c r="I157" i="1"/>
  <c r="J157" i="1"/>
  <c r="K157" i="1"/>
  <c r="G167" i="1"/>
  <c r="H167" i="1"/>
  <c r="I167" i="1"/>
  <c r="J167" i="1"/>
  <c r="K167" i="1"/>
  <c r="G169" i="1"/>
  <c r="H169" i="1"/>
  <c r="I169" i="1"/>
  <c r="J169" i="1"/>
  <c r="K169" i="1"/>
  <c r="G175" i="1"/>
  <c r="H175" i="1"/>
  <c r="I175" i="1"/>
  <c r="J175" i="1"/>
  <c r="K175" i="1"/>
  <c r="G176" i="1"/>
  <c r="H176" i="1"/>
  <c r="I176" i="1"/>
  <c r="J176" i="1"/>
  <c r="K176" i="1"/>
  <c r="G177" i="1"/>
  <c r="H177" i="1"/>
  <c r="I177" i="1"/>
  <c r="J177" i="1"/>
  <c r="K177" i="1"/>
  <c r="G179" i="1"/>
  <c r="H179" i="1"/>
  <c r="I179" i="1"/>
  <c r="J179" i="1"/>
  <c r="K179" i="1"/>
  <c r="G180" i="1"/>
  <c r="H180" i="1"/>
  <c r="I180" i="1"/>
  <c r="J180" i="1"/>
  <c r="K180" i="1"/>
  <c r="G185" i="1"/>
  <c r="H185" i="1"/>
  <c r="I185" i="1"/>
  <c r="J185" i="1"/>
  <c r="K185" i="1"/>
  <c r="D192" i="1"/>
  <c r="D2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  <author>Matan Feldman</author>
  </authors>
  <commentList>
    <comment ref="G16" authorId="0" shapeId="0" xr:uid="{41B543B7-0EA4-4289-92D8-BA3DBE6D913D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uses a 52/53 week FY so cannot utilize traditional EOMONTH </t>
        </r>
      </text>
    </comment>
    <comment ref="I16" authorId="0" shapeId="0" xr:uid="{27750CA1-3290-4691-B687-4B11D09CCCF4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53 week FY</t>
        </r>
      </text>
    </comment>
    <comment ref="F33" authorId="0" shapeId="0" xr:uid="{9BD16FF4-80A1-4BFD-97C7-E5D5527D066A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Micron 2025 10-k Pg. 96</t>
        </r>
      </text>
    </comment>
    <comment ref="E43" authorId="0" shapeId="0" xr:uid="{3AF455B0-268C-4628-807E-74506BB7CDD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Revisit</t>
        </r>
      </text>
    </comment>
    <comment ref="F107" authorId="0" shapeId="0" xr:uid="{E862E767-D58E-4C9C-AE24-987E15F886E6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MU 10-k Pg. 58</t>
        </r>
      </text>
    </comment>
    <comment ref="L115" authorId="0" shapeId="0" xr:uid="{7AAE3491-1898-411B-A85A-9D68ACD1995B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To bring in line with management expectations per 2025 10-k pg. 76</t>
        </r>
      </text>
    </comment>
    <comment ref="D129" authorId="0" shapeId="0" xr:uid="{028AF773-4A2B-4BAD-806E-89758C287891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 pg. 67</t>
        </r>
      </text>
    </comment>
    <comment ref="F152" authorId="0" shapeId="0" xr:uid="{49F32C44-66EF-4FD0-9AEE-9C02A280D510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5" authorId="0" shapeId="0" xr:uid="{979A53D1-7156-4DD4-AB83-E3405F36CFE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Note 12 Micro 10-k 2025
pg. 79 Revolving Credit facility 
</t>
        </r>
      </text>
    </comment>
    <comment ref="G161" authorId="0" shapeId="0" xr:uid="{9CB26331-0564-45AC-AC4E-65952DCB68BF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
Note 12, Pg. 77</t>
        </r>
      </text>
    </comment>
    <comment ref="G163" authorId="0" shapeId="0" xr:uid="{97D48891-394C-4BD3-9BD7-FEBF026A2108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From Micron 10-k
Note 8 pg. 74</t>
        </r>
      </text>
    </comment>
    <comment ref="G185" authorId="1" shapeId="0" xr:uid="{77840F12-6852-48EE-91D5-5D5897474747}">
      <text>
        <r>
          <rPr>
            <sz val="9"/>
            <color indexed="81"/>
            <rFont val="Tahoma"/>
            <family val="2"/>
          </rPr>
          <t>WSP assumption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Tyler S</author>
  </authors>
  <commentList>
    <comment ref="C13" authorId="0" shapeId="0" xr:uid="{358D0A57-D95F-4F27-9A5E-954A71F0F853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Memory is sold by the bit so revenue is bits by ASP</t>
        </r>
      </text>
    </comment>
    <comment ref="G14" authorId="0" shapeId="0" xr:uid="{16B6A90A-ABF0-462C-AA84-04040FF0E72E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15" authorId="0" shapeId="0" xr:uid="{F875B3DA-2456-4ECD-A808-C619F6A71AFC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Based on Q4 2025 Earnings Call</t>
        </r>
      </text>
    </comment>
    <comment ref="G22" authorId="0" shapeId="0" xr:uid="{C01C476E-142E-4166-92BA-42C4745DA937}">
      <text>
        <r>
          <rPr>
            <b/>
            <sz val="9"/>
            <color indexed="81"/>
            <rFont val="Tahoma"/>
            <family val="2"/>
          </rPr>
          <t>Tyler S:</t>
        </r>
        <r>
          <rPr>
            <sz val="9"/>
            <color indexed="81"/>
            <rFont val="Tahoma"/>
            <family val="2"/>
          </rPr>
          <t xml:space="preserve">
(1+bit growth) * (1+ASP) -1 </t>
        </r>
      </text>
    </comment>
  </commentList>
</comments>
</file>

<file path=xl/sharedStrings.xml><?xml version="1.0" encoding="utf-8"?>
<sst xmlns="http://schemas.openxmlformats.org/spreadsheetml/2006/main" count="331" uniqueCount="231">
  <si>
    <t>$ in thousands except per share</t>
  </si>
  <si>
    <t>Company name</t>
  </si>
  <si>
    <t>Ticker</t>
  </si>
  <si>
    <t>Circ break 1=off, 0=on</t>
  </si>
  <si>
    <t>Latest closing share price</t>
  </si>
  <si>
    <t>Latest closing share price date</t>
  </si>
  <si>
    <t>Latest fiscal year end date</t>
  </si>
  <si>
    <t>Shares outstanding (millions)</t>
  </si>
  <si>
    <t>INCOME STATEMENT</t>
  </si>
  <si>
    <t xml:space="preserve">Fiscal year  </t>
  </si>
  <si>
    <t>Fiscal year end date</t>
  </si>
  <si>
    <t>Revenue</t>
  </si>
  <si>
    <t>Cost of sales (enter as -)</t>
  </si>
  <si>
    <t>Plug = Revenue - Gross Profit</t>
  </si>
  <si>
    <t>Gross Profit</t>
  </si>
  <si>
    <t>Revenue x Gross Profit Margin forecast</t>
  </si>
  <si>
    <t>Research &amp; development (enter as -)</t>
  </si>
  <si>
    <t>Revenue x R&amp;D % of sales forecast</t>
  </si>
  <si>
    <t>Selling, general &amp; administrative (enter as -)</t>
  </si>
  <si>
    <t>Revenue x SG&amp;A % of sales forecast</t>
  </si>
  <si>
    <t>Operating profit (EBIT)</t>
  </si>
  <si>
    <t>Gross Profit - R&amp;D - SG&amp;A</t>
  </si>
  <si>
    <t>Interest income</t>
  </si>
  <si>
    <t>Reference from interest on cash schedule</t>
  </si>
  <si>
    <t>Interest expense (enter as -)</t>
  </si>
  <si>
    <t>Reference from interest expense schedule</t>
  </si>
  <si>
    <t>Other expense, net (enter as -)</t>
  </si>
  <si>
    <t>Straight-line</t>
  </si>
  <si>
    <t>Pretax profit</t>
  </si>
  <si>
    <t>EBIT + interest income less interest expense less other expense</t>
  </si>
  <si>
    <t>Taxes (enter expense as -)</t>
  </si>
  <si>
    <t>Pre-tax Profit x Tax Rate forecast</t>
  </si>
  <si>
    <t>Net income</t>
  </si>
  <si>
    <t>Pre-tax Profit less taxes</t>
  </si>
  <si>
    <t>Depreciation &amp; amortization</t>
  </si>
  <si>
    <t>Reference from D&amp;A schedule</t>
  </si>
  <si>
    <t>EBITDA</t>
  </si>
  <si>
    <t>Stock based compensation</t>
  </si>
  <si>
    <t>Adjusted EBITDA</t>
  </si>
  <si>
    <t>EBITDA + Stock-based compensation</t>
  </si>
  <si>
    <t>Growth rates &amp; margins</t>
  </si>
  <si>
    <t>Revenue growth</t>
  </si>
  <si>
    <t>Gross profit margin</t>
  </si>
  <si>
    <t>R&amp;D % of sales</t>
  </si>
  <si>
    <t>SG&amp;A % of sales</t>
  </si>
  <si>
    <t>Tax rate</t>
  </si>
  <si>
    <t>BALANCE SHEET</t>
  </si>
  <si>
    <t>Cash &amp; equivalents, ST and LT marketable securities</t>
  </si>
  <si>
    <t>Reference from 'net change in cash' line on the cash flow statement</t>
  </si>
  <si>
    <t>Accounts receivable</t>
  </si>
  <si>
    <t>Grow in-line with revenue growth</t>
  </si>
  <si>
    <t>Inventories</t>
  </si>
  <si>
    <t>Grow in-line with cost of sales growth</t>
  </si>
  <si>
    <t>Other current assets</t>
  </si>
  <si>
    <t>Property, plant &amp; equipment</t>
  </si>
  <si>
    <t>Reference from PP&amp;E schedule</t>
  </si>
  <si>
    <t>Other non current assets</t>
  </si>
  <si>
    <t>Total assets</t>
  </si>
  <si>
    <t>Accounts payable</t>
  </si>
  <si>
    <t>Other current liabilities</t>
  </si>
  <si>
    <t>Commercial paper / revolver</t>
  </si>
  <si>
    <t>Reference from revolver schedule</t>
  </si>
  <si>
    <t>Long term debt (includes current portion)</t>
  </si>
  <si>
    <t>Other non current liabilities</t>
  </si>
  <si>
    <t>Total liabilities</t>
  </si>
  <si>
    <t>Common stock</t>
  </si>
  <si>
    <t>Increase by stock-based compensation forecasted in the I/S section</t>
  </si>
  <si>
    <t xml:space="preserve">Retained earnings </t>
  </si>
  <si>
    <t>Reference from Retained Earnings schedule</t>
  </si>
  <si>
    <t>Other comprehensive income</t>
  </si>
  <si>
    <t>Total equity</t>
  </si>
  <si>
    <t>Balance check</t>
  </si>
  <si>
    <t>CASH FLOW STATEMENT</t>
  </si>
  <si>
    <t>Depreciation and amortization</t>
  </si>
  <si>
    <t>Decreases / (Increases) in working capital assets</t>
  </si>
  <si>
    <t>Increases / (Decreases) in working capital liabilities</t>
  </si>
  <si>
    <t>Reference additions to 'other non-current assets' from schedule</t>
  </si>
  <si>
    <t>Cash from operating activities</t>
  </si>
  <si>
    <t>Capital expenditures</t>
  </si>
  <si>
    <t>Cash from investing activities</t>
  </si>
  <si>
    <t>Long term debt</t>
  </si>
  <si>
    <t>Revolver</t>
  </si>
  <si>
    <t>Share repurchases</t>
  </si>
  <si>
    <t>Common dividends</t>
  </si>
  <si>
    <t>Cash from financing activities</t>
  </si>
  <si>
    <t>Net change in cash during period</t>
  </si>
  <si>
    <t>PROPERTY, PLANT &amp; EQUIPMENT</t>
  </si>
  <si>
    <t>Forecast</t>
  </si>
  <si>
    <t>Beginning of period</t>
  </si>
  <si>
    <t xml:space="preserve">BOP = Previous year EOP </t>
  </si>
  <si>
    <t>Plus: Capital expenditures</t>
  </si>
  <si>
    <t>Less: Depreciation</t>
  </si>
  <si>
    <t>Capex x 'D&amp;A related to PP&amp;E as a % of capex' ratio (below)</t>
  </si>
  <si>
    <t>End of period</t>
  </si>
  <si>
    <t>BOP + Capex - Depreciation</t>
  </si>
  <si>
    <t>Step</t>
  </si>
  <si>
    <t>D&amp;A related to PP&amp;E as a % of capex</t>
  </si>
  <si>
    <t>IMPUTING TOTAL DEPRECIATION &amp; AMORTIZATION</t>
  </si>
  <si>
    <r>
      <t xml:space="preserve">D&amp;A </t>
    </r>
    <r>
      <rPr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related to PP&amp;E</t>
    </r>
  </si>
  <si>
    <t>as % of revenue</t>
  </si>
  <si>
    <t xml:space="preserve">Depreciation &amp; Amortization - Total </t>
  </si>
  <si>
    <t>OTHER NON-CURRENT ASSETS</t>
  </si>
  <si>
    <t xml:space="preserve">Assume all D&amp;A not from PP&amp;E is in non-current assets </t>
  </si>
  <si>
    <t xml:space="preserve">Plus: Additions </t>
  </si>
  <si>
    <t>Because we already know the EOP balance, this is a plug: EOP - D&amp;A not from PP&amp;E - BOP</t>
  </si>
  <si>
    <t>Referenced from balance sheet</t>
  </si>
  <si>
    <t>RETAINED EARNINGS</t>
  </si>
  <si>
    <t>Plus: Net income</t>
  </si>
  <si>
    <t>Reference from income statement</t>
  </si>
  <si>
    <t>Less: Dividends</t>
  </si>
  <si>
    <t>Less: Repurchases</t>
  </si>
  <si>
    <t>BOP + net income - dividends - repurchases</t>
  </si>
  <si>
    <t>REVOLVER (MODEL PLUG)</t>
  </si>
  <si>
    <t>Revolver needs analysis</t>
  </si>
  <si>
    <t>Cash at beginning of period (BOP)</t>
  </si>
  <si>
    <t>Reference prior period EOP from B/S</t>
  </si>
  <si>
    <t>Less: Minimum cash balance</t>
  </si>
  <si>
    <t>Plus: Free cash flows generated during period</t>
  </si>
  <si>
    <r>
      <t xml:space="preserve">CFO + CFI + CFF </t>
    </r>
    <r>
      <rPr>
        <u/>
        <sz val="11"/>
        <color theme="1"/>
        <rFont val="Aptos Narrow"/>
        <family val="2"/>
        <scheme val="minor"/>
      </rPr>
      <t>except revolver</t>
    </r>
  </si>
  <si>
    <t>Equals: Cash available (needed) to pay down (draw from) revolver</t>
  </si>
  <si>
    <t>Commercial paper / Revolver</t>
  </si>
  <si>
    <t>Draw / (paydown)</t>
  </si>
  <si>
    <t xml:space="preserve">Cash (paydown) / additional borrowing from revolver. Paydown not to exceed BOP balance. </t>
  </si>
  <si>
    <t>Discretionary borrowing / (paydown)</t>
  </si>
  <si>
    <t>Debt balance:</t>
  </si>
  <si>
    <t>INTEREST EXPENSE AND INTEREST INCOME</t>
  </si>
  <si>
    <t>Interest expense from revolver/CP + interest expense from long term debt</t>
  </si>
  <si>
    <t>Commercial Paper / Revolver</t>
  </si>
  <si>
    <t>Weighted average interest rate</t>
  </si>
  <si>
    <t>End of period balance (from B/S)</t>
  </si>
  <si>
    <t>Reference from revolver / CP schedule above</t>
  </si>
  <si>
    <t>Interest expense</t>
  </si>
  <si>
    <t>Interest rate x average of BOP &amp; EOP revolver balances (circularity)</t>
  </si>
  <si>
    <t>Reference from B/S</t>
  </si>
  <si>
    <t xml:space="preserve">Interest expense </t>
  </si>
  <si>
    <t>Interest rate x average of BOP &amp; EOP LTD balances</t>
  </si>
  <si>
    <t>Interest rate on cash</t>
  </si>
  <si>
    <t>Weighted average interest rate on cash</t>
  </si>
  <si>
    <t>Interest rate x average of BOP &amp; EOP cash balances (circularity)</t>
  </si>
  <si>
    <t>SENSITIVITY ANALYSIS</t>
  </si>
  <si>
    <t>Revenue growth rate</t>
  </si>
  <si>
    <t>Gross</t>
  </si>
  <si>
    <t>Profit</t>
  </si>
  <si>
    <t>Margin:</t>
  </si>
  <si>
    <t>SCENARIO ANALYSIS</t>
  </si>
  <si>
    <t>Active case:</t>
  </si>
  <si>
    <t xml:space="preserve">Var. from </t>
  </si>
  <si>
    <t>base case</t>
  </si>
  <si>
    <t>Best case</t>
  </si>
  <si>
    <t>Base case</t>
  </si>
  <si>
    <t>NM</t>
  </si>
  <si>
    <t>Weak case</t>
  </si>
  <si>
    <t>EARNINGS PER SHARE</t>
  </si>
  <si>
    <t>Reference from I/S</t>
  </si>
  <si>
    <t xml:space="preserve">Basic shares </t>
  </si>
  <si>
    <t>Last period basic shares + ($ shares issued - $ shares repurchased)/Current period average share price</t>
  </si>
  <si>
    <t>Basic EPS</t>
  </si>
  <si>
    <t>Net income / Basic shares</t>
  </si>
  <si>
    <t>Diluted Shares</t>
  </si>
  <si>
    <t>Basic shares + Dilutive securities</t>
  </si>
  <si>
    <t>Diluted EPS</t>
  </si>
  <si>
    <t>Net income/Diluted Shares</t>
  </si>
  <si>
    <t>$ amount of shares repurchased</t>
  </si>
  <si>
    <t>Reference from RE schedule - treasury repurchases (flip sign)</t>
  </si>
  <si>
    <t>$ amount of new shares issued</t>
  </si>
  <si>
    <t xml:space="preserve">Reference SBC from I/S </t>
  </si>
  <si>
    <t>Price / volume build</t>
  </si>
  <si>
    <t>Revenue by product</t>
  </si>
  <si>
    <t>Core products</t>
  </si>
  <si>
    <t>% growth</t>
  </si>
  <si>
    <t>Micron</t>
  </si>
  <si>
    <t>MU</t>
  </si>
  <si>
    <t>x</t>
  </si>
  <si>
    <t>Assumption grow in line with revenue</t>
  </si>
  <si>
    <t>Comment</t>
  </si>
  <si>
    <t>Morningstar Report Assumption</t>
  </si>
  <si>
    <t>Less: Amortization of intangible assets</t>
  </si>
  <si>
    <t>Straight line assumption</t>
  </si>
  <si>
    <t>Straight Line</t>
  </si>
  <si>
    <t>Operating lease right-of-use assets</t>
  </si>
  <si>
    <t>Intangible assets</t>
  </si>
  <si>
    <t>Deferred tax assets</t>
  </si>
  <si>
    <t>Goodwill</t>
  </si>
  <si>
    <t>Noncurrent unearned government incentives</t>
  </si>
  <si>
    <t xml:space="preserve">Noncurrent operating lease liabilities </t>
  </si>
  <si>
    <t>Total interest expense</t>
  </si>
  <si>
    <t xml:space="preserve">Less: capitalized interest </t>
  </si>
  <si>
    <t xml:space="preserve">Gross interest expense </t>
  </si>
  <si>
    <t>Average cash balance (from B/S)</t>
  </si>
  <si>
    <t>Average LTD balance (from B/S)</t>
  </si>
  <si>
    <t>Circularity</t>
  </si>
  <si>
    <t>Straight line</t>
  </si>
  <si>
    <t>TS assumption</t>
  </si>
  <si>
    <t xml:space="preserve">TS Assumption </t>
  </si>
  <si>
    <t>Straight line from 2025</t>
  </si>
  <si>
    <t>Additional Capital</t>
  </si>
  <si>
    <t>Treasury Stock</t>
  </si>
  <si>
    <t>Restructuring &amp; asset impairments</t>
  </si>
  <si>
    <t>Other operating income (expense), net</t>
  </si>
  <si>
    <t>Active Case</t>
  </si>
  <si>
    <t>DRAM Sales</t>
  </si>
  <si>
    <t>NAND Sales</t>
  </si>
  <si>
    <t xml:space="preserve"> </t>
  </si>
  <si>
    <t>Total DRAM + NAND Sales</t>
  </si>
  <si>
    <t>Target P/E</t>
  </si>
  <si>
    <t>Trailing diluted EPS * Target P/E</t>
  </si>
  <si>
    <t>Analyst Case</t>
  </si>
  <si>
    <t>Morningstar estimates</t>
  </si>
  <si>
    <t>Analyst</t>
  </si>
  <si>
    <t>Bottom up revenue based on sales and demand reported in 10-k</t>
  </si>
  <si>
    <t>TS assumption: straight-line</t>
  </si>
  <si>
    <t>Contribution Margin</t>
  </si>
  <si>
    <t>Prior year * (1+g)</t>
  </si>
  <si>
    <t>Revenue Growth Rate</t>
  </si>
  <si>
    <t>First forecast year net income sensitivity</t>
  </si>
  <si>
    <t>Avg price (share count only)</t>
  </si>
  <si>
    <t>DRAM</t>
  </si>
  <si>
    <t>NAND</t>
  </si>
  <si>
    <t>Average Selling Price Change</t>
  </si>
  <si>
    <t>Total Revenue</t>
  </si>
  <si>
    <t>Revenue Growth</t>
  </si>
  <si>
    <t>Morningstar estimate with 20% contribution margin to overall revenues</t>
  </si>
  <si>
    <t>Morningstar estimate with 80% contribution margin to overall revenues</t>
  </si>
  <si>
    <t>Multiplies sum of DRAM and NAND sales by 1.008 maintaining a small contribution margin for MU's other revenues based on 2025.</t>
  </si>
  <si>
    <t>Imported from scenario analysis</t>
  </si>
  <si>
    <t>First forecast year Diluted EPS sensitivity</t>
  </si>
  <si>
    <t>Base Case</t>
  </si>
  <si>
    <t>Based on Morningstar estimates through 2027; straight-line thereafter</t>
  </si>
  <si>
    <t>Based on Morningstar estimate for 2026 stepped down thereafter</t>
  </si>
  <si>
    <t>Bit Demand Growth</t>
  </si>
  <si>
    <t>Based on FY25 Q4 Earnings call and held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</si>
</sst>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0.0%_);\(0.0%\);@_)"/>
    <numFmt numFmtId="165" formatCode="#,##0.0_);\(#,##0.0\);@_)"/>
    <numFmt numFmtId="166" formatCode="#,##0.00_);\(#,##0\)"/>
    <numFmt numFmtId="167" formatCode="#,##0.0%_);\(#,##0.0%\)"/>
    <numFmt numFmtId="168" formatCode="0.0\ \x"/>
    <numFmt numFmtId="169" formatCode="#,##0.00\ ;\(#,##0.00\)"/>
    <numFmt numFmtId="170" formatCode="&quot;$&quot;#,##0.00\ ;\(&quot;$&quot;#,##0.00\)"/>
    <numFmt numFmtId="171" formatCode="0.0%_);\(0.0%\)"/>
    <numFmt numFmtId="172" formatCode="0.000\ \x&quot;rate&quot;"/>
    <numFmt numFmtId="173" formatCode="#,##0.000_);[Red]\(#,##0.000\)"/>
    <numFmt numFmtId="174" formatCode="0.00_);\(0.00\);0.00"/>
    <numFmt numFmtId="175" formatCode="\C&quot;$&quot;#,##0.00_);[Red]\(&quot;$&quot;#,##0.00\)"/>
    <numFmt numFmtId="176" formatCode="#,##0%_);\(#,##0.0%\)"/>
    <numFmt numFmtId="177" formatCode="_(* #,##0.00000000_);_(* \(#,##0.00000000\);_(* &quot;-&quot;?_);_(@_)"/>
    <numFmt numFmtId="178" formatCode="mmm\-d\-yyyy"/>
    <numFmt numFmtId="179" formatCode="mmm\-yyyy"/>
    <numFmt numFmtId="180" formatCode="yyyy"/>
    <numFmt numFmtId="181" formatCode="0.00\x&quot;rate&quot;"/>
    <numFmt numFmtId="182" formatCode="0.0&quot;  &quot;"/>
    <numFmt numFmtId="183" formatCode="&quot;$&quot;#,##0.0\ ;[Red]\(&quot;$&quot;#,##0\)"/>
    <numFmt numFmtId="184" formatCode="&quot;$&quot;#,##0.000_);[Red]\(&quot;$&quot;#,##0.000\)"/>
    <numFmt numFmtId="185" formatCode="&quot;$&quot;#,##0.00&quot;A&quot;;[Red]\(&quot;$&quot;#,##0.00\)&quot;A&quot;"/>
    <numFmt numFmtId="186" formatCode="#,##0.0\ ;[Red]\(&quot;$&quot;#,##0\)"/>
    <numFmt numFmtId="187" formatCode="&quot;$&quot;#,##0.00&quot;E&quot;;[Red]\(&quot;$&quot;#,##0.00\)&quot;E&quot;"/>
    <numFmt numFmtId="188" formatCode="_([$€-2]* #,##0.00_);_([$€-2]* \(#,##0.00\);_([$€-2]* &quot;-&quot;??_)"/>
    <numFmt numFmtId="189" formatCode="#,##0.00;\(#,##0.00\)"/>
    <numFmt numFmtId="190" formatCode=".%\,\(0.0%%;\t"/>
    <numFmt numFmtId="191" formatCode="#,##0.0_);[Red]\(#,##0.0\)"/>
    <numFmt numFmtId="192" formatCode="0.0%_);[Red]\(0.0%\)"/>
    <numFmt numFmtId="193" formatCode="0.00_);\(0.00\);0.00_)"/>
    <numFmt numFmtId="194" formatCode="0.0%"/>
    <numFmt numFmtId="195" formatCode="#,##0\x"/>
    <numFmt numFmtId="196" formatCode="&quot;TKR&quot;\ 0"/>
    <numFmt numFmtId="197" formatCode=".%\,\(0.%%;\t"/>
    <numFmt numFmtId="198" formatCode="&quot;$&quot;#,###.0\ \ "/>
    <numFmt numFmtId="199" formatCode="#,##0.00\x_);[Red]\(#,##0.00\x\)"/>
    <numFmt numFmtId="200" formatCode="#,##0.0_);\(#,##0.0\)"/>
    <numFmt numFmtId="201" formatCode="#,##0.000_);\(#,##0.000\)"/>
    <numFmt numFmtId="202" formatCode="#,##0.00\x_);[Red]\(#,##0.00\x\);&quot;--  &quot;"/>
    <numFmt numFmtId="203" formatCode="_(* #,##0.0_);_(* \(#,##0.0\);_(* &quot;-&quot;??_);_(@_)"/>
    <numFmt numFmtId="204" formatCode="0.0\x_);[Red]\(0.0\x\)"/>
    <numFmt numFmtId="205" formatCode="0.0\ "/>
    <numFmt numFmtId="206" formatCode="&quot;$&quot;#,##0.0;\(&quot;$&quot;#,##0.00\)"/>
    <numFmt numFmtId="207" formatCode="#,##0.00%_);\(#,##0.00%\)"/>
    <numFmt numFmtId="208" formatCode="0.00\%;\-0.00\%;0.00\%"/>
    <numFmt numFmtId="209" formatCode="0.0%\ ;\(0.0%\)"/>
    <numFmt numFmtId="210" formatCode="_(&quot;$&quot;* #,##0_);_(&quot;$&quot;* \(#,##0\);_(&quot;$&quot;* &quot;-&quot;??_);_(@_)"/>
    <numFmt numFmtId="211" formatCode="&quot;$&quot;0.00\ "/>
    <numFmt numFmtId="212" formatCode="0.0\ \ \ \ \ "/>
    <numFmt numFmtId="213" formatCode="0.00\x;\-0.00\x;0.00\x"/>
    <numFmt numFmtId="214" formatCode="&quot;$&quot;#,##0.000_);\(&quot;$&quot;#,##0.000\)"/>
    <numFmt numFmtId="215" formatCode="#,##0.0_);\(#,##0.0\);_(* &quot;-&quot;_)"/>
    <numFmt numFmtId="216" formatCode="_(&quot;$&quot;* #,##0.00_);_(&quot;$&quot;* \(#,##0.00\);_(* &quot;-&quot;_);_(@_)"/>
    <numFmt numFmtId="217" formatCode="0.00%_);[Red]\(0.00%\)"/>
    <numFmt numFmtId="218" formatCode="#,##0.0\x_);\(#,##0.0\x\)"/>
    <numFmt numFmtId="219" formatCode="#,##0.00\x_);\(#,##0.00\x\)"/>
    <numFmt numFmtId="220" formatCode="###0&quot;E&quot;_)"/>
    <numFmt numFmtId="221" formatCode="0\A;[Red]0\A"/>
    <numFmt numFmtId="222" formatCode="0\P_);\(0\P\)"/>
    <numFmt numFmtId="223" formatCode="m/d/yy;@"/>
    <numFmt numFmtId="224" formatCode="#,##0_);\(#,##0\);@_)"/>
    <numFmt numFmtId="225" formatCode="0.00%_);\(0.00%\);@_)"/>
    <numFmt numFmtId="226" formatCode="0%_);\(0%\);@_)"/>
    <numFmt numFmtId="227" formatCode="[&gt;1]&quot;10Q: &quot;0&quot; qtrs&quot;;&quot;10Q: &quot;0&quot; qtr&quot;"/>
    <numFmt numFmtId="228" formatCode="&quot;$&quot;#,##0.00_);[Red]\(&quot;$&quot;#,##0.00\);&quot;--  &quot;;_(@_)"/>
    <numFmt numFmtId="229" formatCode="mmm\-dd\-yy"/>
    <numFmt numFmtId="230" formatCode="mmm\-dd\-yyyy"/>
    <numFmt numFmtId="231" formatCode="#,##0.0_);[Red]\(#,##0.0\);&quot;--  &quot;"/>
    <numFmt numFmtId="232" formatCode="0.00\x"/>
    <numFmt numFmtId="233" formatCode="0.0&quot; years&quot;"/>
    <numFmt numFmtId="234" formatCode="_(#,##0.0%_);\(#,##0.0%\);_(&quot;–&quot;_)_%;_(@_)_%"/>
    <numFmt numFmtId="235" formatCode="_(#,##0_)_%;\(#,##0\)_%;_(&quot;–&quot;_)_%;_(@_)_%"/>
    <numFmt numFmtId="236" formatCode="0.0%;\(0.0%\)"/>
    <numFmt numFmtId="237" formatCode="0.0%;\ \(0.0%\)"/>
    <numFmt numFmtId="238" formatCode="_(#,##0.0000%_);\(#,##0.0000%\);_(&quot;–&quot;_)_%;_(@_)_%"/>
    <numFmt numFmtId="239" formatCode="0.0\x"/>
    <numFmt numFmtId="240" formatCode="#,##0.00_);\(#,##0.00\);@_)"/>
    <numFmt numFmtId="241" formatCode="0\P;[Red]0\P"/>
  </numFmts>
  <fonts count="9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0000"/>
      <name val="Aptos Narrow"/>
      <family val="2"/>
      <scheme val="minor"/>
    </font>
    <font>
      <sz val="9"/>
      <color indexed="81"/>
      <name val="Tahoma"/>
      <family val="2"/>
    </font>
    <font>
      <i/>
      <sz val="11"/>
      <color rgb="FF00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8"/>
      <color indexed="12"/>
      <name val="Arial"/>
      <family val="2"/>
    </font>
    <font>
      <sz val="1"/>
      <color indexed="9"/>
      <name val="Symbol"/>
      <family val="1"/>
      <charset val="2"/>
    </font>
    <font>
      <sz val="11"/>
      <color indexed="8"/>
      <name val="Aptos Narrow"/>
      <family val="2"/>
      <scheme val="minor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sz val="8"/>
      <color indexed="10"/>
      <name val="Arial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3"/>
      <color indexed="8"/>
      <name val="Verdana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8"/>
      <color rgb="FFFF0000"/>
      <name val="Aptos Narrow"/>
      <family val="2"/>
      <scheme val="minor"/>
    </font>
    <font>
      <sz val="9"/>
      <color rgb="FF008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210">
    <xf numFmtId="0" fontId="0" fillId="0" borderId="0"/>
    <xf numFmtId="0" fontId="4" fillId="0" borderId="0"/>
    <xf numFmtId="166" fontId="4" fillId="0" borderId="0">
      <alignment horizontal="right"/>
    </xf>
    <xf numFmtId="167" fontId="4" fillId="2" borderId="0"/>
    <xf numFmtId="168" fontId="4" fillId="2" borderId="0"/>
    <xf numFmtId="169" fontId="4" fillId="2" borderId="0"/>
    <xf numFmtId="170" fontId="4" fillId="2" borderId="0">
      <alignment horizontal="right"/>
    </xf>
    <xf numFmtId="171" fontId="5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172" fontId="7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7" fillId="0" borderId="0"/>
    <xf numFmtId="0" fontId="10" fillId="4" borderId="0" applyNumberFormat="0" applyBorder="0" applyAlignment="0" applyProtection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protection locked="0"/>
    </xf>
    <xf numFmtId="0" fontId="12" fillId="0" borderId="0"/>
    <xf numFmtId="37" fontId="13" fillId="0" borderId="0">
      <alignment horizontal="centerContinuous"/>
    </xf>
    <xf numFmtId="0" fontId="14" fillId="21" borderId="2" applyNumberFormat="0" applyAlignment="0" applyProtection="0"/>
    <xf numFmtId="173" fontId="11" fillId="0" borderId="0" applyFont="0" applyFill="0" applyBorder="0" applyAlignment="0" applyProtection="0">
      <protection locked="0"/>
    </xf>
    <xf numFmtId="173" fontId="11" fillId="0" borderId="3" applyFont="0" applyFill="0" applyAlignment="0" applyProtection="0"/>
    <xf numFmtId="0" fontId="15" fillId="22" borderId="4" applyNumberFormat="0" applyAlignment="0" applyProtection="0"/>
    <xf numFmtId="0" fontId="6" fillId="0" borderId="0">
      <alignment horizontal="center" wrapText="1"/>
      <protection hidden="1"/>
    </xf>
    <xf numFmtId="0" fontId="16" fillId="0" borderId="5" applyNumberFormat="0" applyFill="0" applyBorder="0" applyProtection="0">
      <alignment horizontal="left" vertical="center"/>
    </xf>
    <xf numFmtId="0" fontId="16" fillId="0" borderId="5" applyNumberFormat="0" applyFill="0" applyBorder="0" applyProtection="0">
      <alignment horizontal="right" vertical="center"/>
    </xf>
    <xf numFmtId="43" fontId="6" fillId="0" borderId="0" applyFont="0" applyFill="0" applyBorder="0" applyAlignment="0" applyProtection="0"/>
    <xf numFmtId="37" fontId="17" fillId="0" borderId="0" applyFont="0" applyFill="0" applyBorder="0" applyAlignment="0" applyProtection="0"/>
    <xf numFmtId="39" fontId="17" fillId="0" borderId="0" applyFont="0" applyFill="0" applyBorder="0" applyAlignment="0" applyProtection="0"/>
    <xf numFmtId="0" fontId="18" fillId="23" borderId="0">
      <alignment horizontal="center" vertical="center" wrapText="1"/>
    </xf>
    <xf numFmtId="174" fontId="6" fillId="0" borderId="0" applyFill="0" applyBorder="0">
      <alignment horizontal="right"/>
      <protection locked="0"/>
    </xf>
    <xf numFmtId="0" fontId="19" fillId="0" borderId="0" applyFont="0" applyFill="0" applyBorder="0" applyAlignment="0"/>
    <xf numFmtId="7" fontId="20" fillId="0" borderId="0" applyFont="0" applyFill="0" applyBorder="0" applyAlignment="0" applyProtection="0"/>
    <xf numFmtId="5" fontId="17" fillId="0" borderId="0" applyFont="0" applyFill="0" applyBorder="0" applyAlignment="0" applyProtection="0"/>
    <xf numFmtId="175" fontId="7" fillId="0" borderId="0" applyFill="0" applyBorder="0" applyProtection="0">
      <alignment horizontal="right"/>
    </xf>
    <xf numFmtId="176" fontId="4" fillId="2" borderId="6">
      <alignment horizontal="right"/>
    </xf>
    <xf numFmtId="177" fontId="4" fillId="2" borderId="6">
      <alignment horizontal="right"/>
    </xf>
    <xf numFmtId="176" fontId="4" fillId="2" borderId="6">
      <alignment horizontal="right"/>
    </xf>
    <xf numFmtId="15" fontId="21" fillId="0" borderId="0" applyFill="0" applyBorder="0" applyAlignment="0"/>
    <xf numFmtId="178" fontId="19" fillId="24" borderId="0" applyFont="0" applyFill="0" applyBorder="0" applyAlignment="0" applyProtection="0"/>
    <xf numFmtId="179" fontId="21" fillId="0" borderId="5"/>
    <xf numFmtId="14" fontId="22" fillId="0" borderId="0" applyFont="0" applyFill="0" applyBorder="0" applyAlignment="0" applyProtection="0">
      <alignment horizontal="center"/>
    </xf>
    <xf numFmtId="180" fontId="22" fillId="0" borderId="0" applyFont="0" applyFill="0" applyBorder="0" applyAlignment="0" applyProtection="0">
      <alignment horizontal="center"/>
    </xf>
    <xf numFmtId="181" fontId="7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11" fillId="0" borderId="0" applyFont="0" applyFill="0" applyBorder="0" applyAlignment="0" applyProtection="0">
      <alignment horizontal="right"/>
    </xf>
    <xf numFmtId="6" fontId="11" fillId="0" borderId="0" applyFont="0" applyFill="0" applyBorder="0" applyAlignment="0" applyProtection="0"/>
    <xf numFmtId="39" fontId="4" fillId="25" borderId="0"/>
    <xf numFmtId="7" fontId="4" fillId="25" borderId="0" applyBorder="0"/>
    <xf numFmtId="182" fontId="4" fillId="25" borderId="0"/>
    <xf numFmtId="183" fontId="4" fillId="0" borderId="0"/>
    <xf numFmtId="184" fontId="4" fillId="25" borderId="0"/>
    <xf numFmtId="185" fontId="12" fillId="0" borderId="0" applyFont="0" applyFill="0" applyBorder="0" applyProtection="0">
      <alignment horizontal="left"/>
      <protection locked="0"/>
    </xf>
    <xf numFmtId="186" fontId="4" fillId="0" borderId="0"/>
    <xf numFmtId="187" fontId="12" fillId="0" borderId="0" applyFont="0" applyFill="0" applyBorder="0" applyProtection="0">
      <alignment horizontal="left"/>
      <protection locked="0"/>
    </xf>
    <xf numFmtId="188" fontId="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1" fontId="4" fillId="0" borderId="7"/>
    <xf numFmtId="189" fontId="4" fillId="2" borderId="6">
      <alignment horizontal="right"/>
    </xf>
    <xf numFmtId="190" fontId="4" fillId="2" borderId="6">
      <alignment horizontal="right"/>
    </xf>
    <xf numFmtId="189" fontId="4" fillId="2" borderId="6">
      <alignment horizontal="right"/>
    </xf>
    <xf numFmtId="191" fontId="11" fillId="0" borderId="0" applyFill="0" applyBorder="0" applyAlignment="0" applyProtection="0">
      <protection locked="0"/>
    </xf>
    <xf numFmtId="0" fontId="24" fillId="5" borderId="0" applyNumberFormat="0" applyBorder="0" applyAlignment="0" applyProtection="0"/>
    <xf numFmtId="192" fontId="25" fillId="0" borderId="0" applyFill="0" applyBorder="0" applyAlignment="0" applyProtection="0"/>
    <xf numFmtId="171" fontId="26" fillId="0" borderId="0" applyAlignment="0">
      <alignment horizontal="left"/>
      <protection locked="0"/>
    </xf>
    <xf numFmtId="191" fontId="7" fillId="26" borderId="8" applyNumberFormat="0" applyFont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191" fontId="30" fillId="0" borderId="0" applyNumberFormat="0" applyFill="0" applyBorder="0" applyAlignment="0" applyProtection="0"/>
    <xf numFmtId="0" fontId="31" fillId="0" borderId="0"/>
    <xf numFmtId="173" fontId="11" fillId="0" borderId="0" applyFont="0" applyFill="0" applyBorder="0" applyAlignment="0" applyProtection="0"/>
    <xf numFmtId="38" fontId="11" fillId="0" borderId="0" applyFill="0" applyBorder="0" applyAlignment="0" applyProtection="0">
      <alignment horizontal="right"/>
      <protection locked="0"/>
    </xf>
    <xf numFmtId="0" fontId="32" fillId="8" borderId="2" applyNumberFormat="0" applyAlignment="0" applyProtection="0"/>
    <xf numFmtId="0" fontId="19" fillId="24" borderId="0" applyFont="0" applyBorder="0" applyAlignment="0">
      <protection locked="0"/>
    </xf>
    <xf numFmtId="0" fontId="6" fillId="0" borderId="0" applyFill="0" applyBorder="0">
      <alignment horizontal="right"/>
      <protection locked="0"/>
    </xf>
    <xf numFmtId="17" fontId="33" fillId="27" borderId="0"/>
    <xf numFmtId="193" fontId="6" fillId="0" borderId="0" applyFill="0" applyBorder="0">
      <alignment horizontal="right"/>
      <protection locked="0"/>
    </xf>
    <xf numFmtId="0" fontId="34" fillId="28" borderId="12">
      <alignment horizontal="left" vertical="center" wrapText="1"/>
    </xf>
    <xf numFmtId="0" fontId="35" fillId="0" borderId="13" applyNumberFormat="0" applyFill="0" applyAlignment="0" applyProtection="0"/>
    <xf numFmtId="194" fontId="11" fillId="0" borderId="0" applyFont="0" applyFill="0" applyBorder="0" applyAlignment="0" applyProtection="0">
      <alignment horizontal="right"/>
    </xf>
    <xf numFmtId="195" fontId="4" fillId="0" borderId="0">
      <alignment horizontal="right"/>
    </xf>
    <xf numFmtId="196" fontId="4" fillId="25" borderId="0">
      <alignment horizontal="right"/>
    </xf>
    <xf numFmtId="197" fontId="4" fillId="0" borderId="0">
      <alignment horizontal="right"/>
    </xf>
    <xf numFmtId="195" fontId="4" fillId="0" borderId="0">
      <alignment horizontal="right"/>
    </xf>
    <xf numFmtId="171" fontId="36" fillId="0" borderId="0" applyFill="0" applyBorder="0" applyAlignment="0" applyProtection="0">
      <alignment horizontal="right"/>
    </xf>
    <xf numFmtId="171" fontId="36" fillId="0" borderId="0" applyFill="0" applyBorder="0" applyAlignment="0" applyProtection="0"/>
    <xf numFmtId="198" fontId="4" fillId="2" borderId="6">
      <alignment horizontal="right"/>
    </xf>
    <xf numFmtId="199" fontId="11" fillId="0" borderId="0" applyFont="0" applyFill="0" applyBorder="0" applyAlignment="0" applyProtection="0"/>
    <xf numFmtId="0" fontId="17" fillId="2" borderId="0" applyFont="0" applyBorder="0" applyAlignment="0" applyProtection="0">
      <alignment horizontal="right"/>
      <protection hidden="1"/>
    </xf>
    <xf numFmtId="0" fontId="37" fillId="26" borderId="0" applyNumberFormat="0" applyBorder="0" applyAlignment="0" applyProtection="0"/>
    <xf numFmtId="37" fontId="20" fillId="0" borderId="0" applyFont="0" applyFill="0" applyBorder="0" applyAlignment="0" applyProtection="0"/>
    <xf numFmtId="20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/>
    <xf numFmtId="0" fontId="21" fillId="0" borderId="0" applyNumberFormat="0" applyFill="0" applyBorder="0" applyAlignment="0" applyProtection="0"/>
    <xf numFmtId="0" fontId="19" fillId="0" borderId="0" applyFont="0" applyFill="0" applyBorder="0" applyAlignment="0" applyProtection="0"/>
    <xf numFmtId="202" fontId="19" fillId="0" borderId="0" applyFont="0" applyFill="0" applyBorder="0" applyAlignment="0" applyProtection="0"/>
    <xf numFmtId="0" fontId="8" fillId="29" borderId="14" applyNumberFormat="0" applyFont="0" applyAlignment="0" applyProtection="0"/>
    <xf numFmtId="0" fontId="17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8" fillId="21" borderId="15" applyNumberFormat="0" applyAlignment="0" applyProtection="0"/>
    <xf numFmtId="204" fontId="11" fillId="0" borderId="0" applyFont="0" applyFill="0" applyBorder="0" applyAlignment="0" applyProtection="0">
      <alignment horizontal="right"/>
    </xf>
    <xf numFmtId="0" fontId="39" fillId="0" borderId="0" applyNumberFormat="0" applyFill="0" applyBorder="0" applyAlignment="0" applyProtection="0"/>
    <xf numFmtId="0" fontId="19" fillId="0" borderId="0"/>
    <xf numFmtId="205" fontId="4" fillId="25" borderId="0"/>
    <xf numFmtId="9" fontId="11" fillId="0" borderId="0" applyFont="0" applyFill="0" applyBorder="0" applyAlignment="0" applyProtection="0">
      <alignment horizontal="right"/>
    </xf>
    <xf numFmtId="206" fontId="4" fillId="0" borderId="0"/>
    <xf numFmtId="0" fontId="6" fillId="0" borderId="0" applyFont="0" applyFill="0" applyBorder="0" applyAlignment="0"/>
    <xf numFmtId="16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ill="0" applyBorder="0">
      <alignment horizontal="right"/>
      <protection locked="0"/>
    </xf>
    <xf numFmtId="192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3" fontId="11" fillId="0" borderId="0" applyFont="0" applyFill="0" applyBorder="0" applyAlignment="0" applyProtection="0">
      <protection locked="0"/>
    </xf>
    <xf numFmtId="191" fontId="11" fillId="0" borderId="0" applyFill="0" applyBorder="0" applyAlignment="0" applyProtection="0"/>
    <xf numFmtId="38" fontId="11" fillId="0" borderId="0" applyFont="0" applyFill="0" applyBorder="0" applyAlignment="0" applyProtection="0"/>
    <xf numFmtId="169" fontId="4" fillId="2" borderId="16">
      <alignment horizontal="right"/>
    </xf>
    <xf numFmtId="209" fontId="40" fillId="2" borderId="0"/>
    <xf numFmtId="210" fontId="4" fillId="2" borderId="0"/>
    <xf numFmtId="0" fontId="41" fillId="0" borderId="0">
      <alignment horizontal="center"/>
    </xf>
    <xf numFmtId="0" fontId="4" fillId="0" borderId="5">
      <alignment horizontal="centerContinuous"/>
    </xf>
    <xf numFmtId="211" fontId="4" fillId="2" borderId="0">
      <alignment horizontal="right"/>
    </xf>
    <xf numFmtId="212" fontId="4" fillId="2" borderId="6">
      <alignment horizontal="right"/>
    </xf>
    <xf numFmtId="213" fontId="6" fillId="0" borderId="0">
      <alignment horizontal="right"/>
      <protection locked="0"/>
    </xf>
    <xf numFmtId="191" fontId="22" fillId="0" borderId="0" applyFont="0" applyFill="0" applyBorder="0" applyAlignment="0" applyProtection="0"/>
    <xf numFmtId="0" fontId="42" fillId="0" borderId="0" applyNumberFormat="0" applyFill="0" applyBorder="0" applyProtection="0">
      <alignment horizontal="right" vertical="center"/>
    </xf>
    <xf numFmtId="0" fontId="43" fillId="23" borderId="8">
      <alignment horizontal="center" vertical="center" wrapText="1"/>
      <protection hidden="1"/>
    </xf>
    <xf numFmtId="173" fontId="11" fillId="0" borderId="0" applyFill="0" applyBorder="0" applyAlignment="0" applyProtection="0">
      <protection locked="0"/>
    </xf>
    <xf numFmtId="214" fontId="22" fillId="0" borderId="0" applyFont="0" applyFill="0" applyBorder="0" applyAlignment="0" applyProtection="0">
      <alignment horizontal="right"/>
    </xf>
    <xf numFmtId="38" fontId="6" fillId="0" borderId="0" applyFont="0" applyFill="0" applyBorder="0" applyAlignment="0" applyProtection="0"/>
    <xf numFmtId="0" fontId="44" fillId="0" borderId="17" applyNumberFormat="0" applyFill="0" applyProtection="0">
      <alignment horizontal="left" vertical="top" wrapText="1"/>
    </xf>
    <xf numFmtId="0" fontId="31" fillId="0" borderId="0" applyNumberFormat="0" applyFill="0" applyBorder="0" applyProtection="0">
      <alignment horizontal="left" vertical="top" wrapText="1"/>
    </xf>
    <xf numFmtId="0" fontId="45" fillId="0" borderId="0" applyNumberFormat="0" applyFill="0" applyProtection="0">
      <alignment horizontal="left" vertical="top" wrapText="1"/>
    </xf>
    <xf numFmtId="0" fontId="46" fillId="0" borderId="0" applyNumberFormat="0" applyFill="0" applyBorder="0" applyProtection="0"/>
    <xf numFmtId="0" fontId="47" fillId="30" borderId="0" applyNumberFormat="0" applyBorder="0" applyProtection="0"/>
    <xf numFmtId="0" fontId="48" fillId="0" borderId="0" applyNumberFormat="0" applyFill="0" applyBorder="0" applyProtection="0">
      <alignment vertical="top"/>
    </xf>
    <xf numFmtId="215" fontId="49" fillId="0" borderId="0" applyFill="0" applyBorder="0" applyProtection="0">
      <alignment horizontal="right" wrapText="1"/>
    </xf>
    <xf numFmtId="216" fontId="49" fillId="0" borderId="0" applyFill="0" applyBorder="0" applyProtection="0">
      <alignment horizontal="right"/>
    </xf>
    <xf numFmtId="4" fontId="19" fillId="0" borderId="0" applyFill="0" applyBorder="0" applyProtection="0">
      <alignment horizontal="right"/>
    </xf>
    <xf numFmtId="184" fontId="50" fillId="0" borderId="0" applyFill="0" applyBorder="0" applyAlignment="0" applyProtection="0"/>
    <xf numFmtId="217" fontId="51" fillId="0" borderId="0" applyFill="0" applyBorder="0" applyAlignment="0" applyProtection="0">
      <alignment horizontal="left"/>
      <protection locked="0"/>
    </xf>
    <xf numFmtId="217" fontId="51" fillId="0" borderId="0" applyFill="0" applyBorder="0" applyAlignment="0" applyProtection="0"/>
    <xf numFmtId="217" fontId="52" fillId="0" borderId="0" applyFill="0" applyBorder="0" applyAlignment="0" applyProtection="0">
      <alignment horizontal="left"/>
      <protection locked="0"/>
    </xf>
    <xf numFmtId="217" fontId="52" fillId="0" borderId="0" applyFill="0" applyBorder="0" applyAlignment="0" applyProtection="0">
      <protection locked="0"/>
    </xf>
    <xf numFmtId="191" fontId="11" fillId="0" borderId="0" applyFill="0" applyBorder="0" applyAlignment="0" applyProtection="0">
      <protection locked="0"/>
    </xf>
    <xf numFmtId="191" fontId="50" fillId="0" borderId="0" applyFill="0" applyBorder="0" applyAlignment="0" applyProtection="0"/>
    <xf numFmtId="49" fontId="53" fillId="0" borderId="0"/>
    <xf numFmtId="218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1" borderId="0" applyNumberFormat="0" applyBorder="0" applyProtection="0">
      <alignment horizontal="left" vertical="center"/>
    </xf>
    <xf numFmtId="191" fontId="56" fillId="0" borderId="0" applyNumberFormat="0" applyFill="0" applyBorder="0" applyAlignment="0" applyProtection="0"/>
    <xf numFmtId="0" fontId="6" fillId="0" borderId="0" applyBorder="0"/>
    <xf numFmtId="38" fontId="57" fillId="0" borderId="0" applyFill="0" applyBorder="0" applyAlignment="0" applyProtection="0">
      <alignment horizontal="left"/>
    </xf>
    <xf numFmtId="0" fontId="58" fillId="0" borderId="0"/>
    <xf numFmtId="0" fontId="59" fillId="0" borderId="18" applyNumberFormat="0" applyFill="0" applyAlignment="0" applyProtection="0"/>
    <xf numFmtId="0" fontId="60" fillId="0" borderId="0" applyNumberFormat="0" applyFill="0" applyBorder="0" applyAlignment="0" applyProtection="0"/>
    <xf numFmtId="1" fontId="11" fillId="0" borderId="0" applyFont="0" applyFill="0" applyBorder="0" applyAlignment="0" applyProtection="0"/>
    <xf numFmtId="220" fontId="20" fillId="0" borderId="0" applyFont="0" applyFill="0" applyBorder="0" applyAlignment="0" applyProtection="0"/>
    <xf numFmtId="227" fontId="21" fillId="0" borderId="0" applyFill="0" applyBorder="0" applyAlignment="0" applyProtection="0">
      <alignment horizontal="right"/>
    </xf>
    <xf numFmtId="0" fontId="68" fillId="0" borderId="0" applyAlignment="0"/>
    <xf numFmtId="0" fontId="69" fillId="0" borderId="0" applyAlignment="0"/>
    <xf numFmtId="0" fontId="47" fillId="31" borderId="0" applyAlignment="0"/>
    <xf numFmtId="228" fontId="19" fillId="0" borderId="21" applyFont="0" applyFill="0" applyBorder="0" applyAlignment="0" applyProtection="0"/>
    <xf numFmtId="229" fontId="21" fillId="0" borderId="0" applyFont="0" applyFill="0" applyBorder="0" applyAlignment="0" applyProtection="0"/>
    <xf numFmtId="230" fontId="19" fillId="0" borderId="0" applyFont="0" applyFill="0" applyBorder="0" applyAlignment="0" applyProtection="0"/>
    <xf numFmtId="178" fontId="70" fillId="24" borderId="22" applyFont="0" applyFill="0" applyBorder="0" applyAlignment="0" applyProtection="0"/>
    <xf numFmtId="0" fontId="71" fillId="0" borderId="0" applyAlignment="0"/>
    <xf numFmtId="14" fontId="21" fillId="0" borderId="5" applyFont="0" applyFill="0" applyBorder="0" applyAlignment="0" applyProtection="0"/>
    <xf numFmtId="0" fontId="72" fillId="32" borderId="23"/>
    <xf numFmtId="0" fontId="73" fillId="33" borderId="0" applyAlignment="0"/>
    <xf numFmtId="0" fontId="74" fillId="34" borderId="0" applyAlignment="0"/>
    <xf numFmtId="0" fontId="75" fillId="0" borderId="0" applyAlignment="0"/>
    <xf numFmtId="231" fontId="19" fillId="0" borderId="0" applyFont="0" applyFill="0" applyBorder="0" applyAlignment="0" applyProtection="0">
      <alignment horizontal="right"/>
    </xf>
    <xf numFmtId="191" fontId="76" fillId="0" borderId="0" applyNumberFormat="0" applyFill="0" applyBorder="0" applyAlignment="0" applyProtection="0">
      <alignment horizontal="left"/>
    </xf>
    <xf numFmtId="0" fontId="77" fillId="35" borderId="0" applyAlignment="0"/>
    <xf numFmtId="0" fontId="78" fillId="0" borderId="0" applyAlignment="0"/>
    <xf numFmtId="0" fontId="79" fillId="0" borderId="0" applyAlignment="0"/>
    <xf numFmtId="0" fontId="80" fillId="0" borderId="0" applyAlignment="0"/>
    <xf numFmtId="0" fontId="81" fillId="0" borderId="0" applyAlignment="0"/>
    <xf numFmtId="0" fontId="48" fillId="0" borderId="0" applyAlignment="0"/>
    <xf numFmtId="232" fontId="19" fillId="0" borderId="0" applyFont="0" applyFill="0" applyBorder="0" applyAlignment="0" applyProtection="0">
      <alignment horizontal="right"/>
    </xf>
    <xf numFmtId="0" fontId="82" fillId="0" borderId="0" applyAlignment="0"/>
    <xf numFmtId="233" fontId="19" fillId="0" borderId="0" applyFont="0" applyFill="0" applyBorder="0" applyAlignment="0"/>
    <xf numFmtId="9" fontId="90" fillId="0" borderId="0" applyFont="0" applyFill="0" applyBorder="0" applyAlignment="0" applyProtection="0"/>
  </cellStyleXfs>
  <cellXfs count="170">
    <xf numFmtId="0" fontId="0" fillId="0" borderId="0" xfId="0"/>
    <xf numFmtId="0" fontId="1" fillId="0" borderId="19" xfId="0" applyFont="1" applyBorder="1"/>
    <xf numFmtId="0" fontId="3" fillId="0" borderId="0" xfId="0" applyFont="1"/>
    <xf numFmtId="14" fontId="63" fillId="0" borderId="0" xfId="0" applyNumberFormat="1" applyFont="1" applyAlignment="1">
      <alignment horizontal="left"/>
    </xf>
    <xf numFmtId="37" fontId="2" fillId="0" borderId="0" xfId="0" applyNumberFormat="1" applyFont="1"/>
    <xf numFmtId="164" fontId="0" fillId="0" borderId="0" xfId="0" applyNumberFormat="1"/>
    <xf numFmtId="0" fontId="1" fillId="0" borderId="1" xfId="0" applyFont="1" applyBorder="1"/>
    <xf numFmtId="0" fontId="64" fillId="0" borderId="1" xfId="0" applyFont="1" applyBorder="1"/>
    <xf numFmtId="0" fontId="0" fillId="0" borderId="1" xfId="0" applyBorder="1"/>
    <xf numFmtId="221" fontId="1" fillId="0" borderId="0" xfId="0" applyNumberFormat="1" applyFont="1"/>
    <xf numFmtId="222" fontId="1" fillId="0" borderId="0" xfId="0" applyNumberFormat="1" applyFont="1"/>
    <xf numFmtId="0" fontId="65" fillId="0" borderId="1" xfId="0" applyFont="1" applyBorder="1"/>
    <xf numFmtId="223" fontId="65" fillId="0" borderId="1" xfId="0" applyNumberFormat="1" applyFont="1" applyBorder="1"/>
    <xf numFmtId="0" fontId="65" fillId="0" borderId="0" xfId="0" applyFont="1"/>
    <xf numFmtId="223" fontId="66" fillId="0" borderId="0" xfId="0" applyNumberFormat="1" applyFont="1"/>
    <xf numFmtId="223" fontId="65" fillId="0" borderId="0" xfId="0" applyNumberFormat="1" applyFont="1"/>
    <xf numFmtId="37" fontId="3" fillId="0" borderId="0" xfId="0" applyNumberFormat="1" applyFont="1"/>
    <xf numFmtId="0" fontId="1" fillId="0" borderId="0" xfId="0" applyFont="1"/>
    <xf numFmtId="37" fontId="61" fillId="0" borderId="0" xfId="0" applyNumberFormat="1" applyFont="1"/>
    <xf numFmtId="37" fontId="0" fillId="0" borderId="0" xfId="0" applyNumberFormat="1"/>
    <xf numFmtId="0" fontId="67" fillId="0" borderId="0" xfId="0" applyFont="1"/>
    <xf numFmtId="0" fontId="0" fillId="0" borderId="0" xfId="0" applyAlignment="1">
      <alignment horizontal="left" indent="1"/>
    </xf>
    <xf numFmtId="164" fontId="3" fillId="0" borderId="0" xfId="0" applyNumberFormat="1" applyFont="1"/>
    <xf numFmtId="164" fontId="2" fillId="0" borderId="0" xfId="0" applyNumberFormat="1" applyFont="1"/>
    <xf numFmtId="221" fontId="61" fillId="0" borderId="0" xfId="0" applyNumberFormat="1" applyFont="1"/>
    <xf numFmtId="222" fontId="61" fillId="0" borderId="0" xfId="0" applyNumberFormat="1" applyFont="1"/>
    <xf numFmtId="223" fontId="63" fillId="0" borderId="1" xfId="0" applyNumberFormat="1" applyFont="1" applyBorder="1"/>
    <xf numFmtId="14" fontId="65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37" fontId="1" fillId="0" borderId="0" xfId="0" applyNumberFormat="1" applyFont="1"/>
    <xf numFmtId="37" fontId="65" fillId="0" borderId="0" xfId="0" applyNumberFormat="1" applyFont="1"/>
    <xf numFmtId="0" fontId="0" fillId="0" borderId="0" xfId="0" quotePrefix="1" applyAlignment="1">
      <alignment horizontal="left" indent="1"/>
    </xf>
    <xf numFmtId="164" fontId="0" fillId="0" borderId="1" xfId="0" applyNumberFormat="1" applyBorder="1"/>
    <xf numFmtId="9" fontId="2" fillId="0" borderId="1" xfId="0" applyNumberFormat="1" applyFont="1" applyBorder="1"/>
    <xf numFmtId="3" fontId="0" fillId="0" borderId="0" xfId="0" applyNumberFormat="1"/>
    <xf numFmtId="0" fontId="1" fillId="0" borderId="0" xfId="0" applyFont="1" applyAlignment="1">
      <alignment horizontal="left" indent="1"/>
    </xf>
    <xf numFmtId="10" fontId="2" fillId="0" borderId="0" xfId="0" applyNumberFormat="1" applyFont="1"/>
    <xf numFmtId="225" fontId="2" fillId="0" borderId="0" xfId="0" applyNumberFormat="1" applyFont="1"/>
    <xf numFmtId="4" fontId="0" fillId="0" borderId="0" xfId="0" applyNumberFormat="1"/>
    <xf numFmtId="0" fontId="67" fillId="0" borderId="0" xfId="0" applyFont="1" applyAlignment="1">
      <alignment horizontal="left" indent="1"/>
    </xf>
    <xf numFmtId="0" fontId="0" fillId="0" borderId="24" xfId="0" applyBorder="1"/>
    <xf numFmtId="37" fontId="3" fillId="0" borderId="0" xfId="0" applyNumberFormat="1" applyFont="1" applyAlignment="1">
      <alignment horizontal="left" indent="1"/>
    </xf>
    <xf numFmtId="37" fontId="1" fillId="0" borderId="1" xfId="0" applyNumberFormat="1" applyFont="1" applyBorder="1"/>
    <xf numFmtId="37" fontId="1" fillId="0" borderId="1" xfId="0" applyNumberFormat="1" applyFont="1" applyBorder="1" applyAlignment="1">
      <alignment horizontal="left"/>
    </xf>
    <xf numFmtId="222" fontId="1" fillId="0" borderId="20" xfId="0" applyNumberFormat="1" applyFont="1" applyBorder="1"/>
    <xf numFmtId="0" fontId="0" fillId="0" borderId="20" xfId="0" applyBorder="1"/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19" xfId="0" applyBorder="1"/>
    <xf numFmtId="0" fontId="0" fillId="0" borderId="0" xfId="0" applyAlignment="1">
      <alignment horizontal="left" indent="2"/>
    </xf>
    <xf numFmtId="226" fontId="0" fillId="0" borderId="0" xfId="0" applyNumberFormat="1"/>
    <xf numFmtId="0" fontId="1" fillId="0" borderId="5" xfId="0" applyFont="1" applyBorder="1"/>
    <xf numFmtId="9" fontId="65" fillId="0" borderId="0" xfId="0" applyNumberFormat="1" applyFont="1"/>
    <xf numFmtId="194" fontId="65" fillId="0" borderId="0" xfId="0" applyNumberFormat="1" applyFont="1"/>
    <xf numFmtId="0" fontId="0" fillId="0" borderId="0" xfId="0" quotePrefix="1"/>
    <xf numFmtId="234" fontId="2" fillId="37" borderId="0" xfId="0" applyNumberFormat="1" applyFont="1" applyFill="1"/>
    <xf numFmtId="223" fontId="65" fillId="0" borderId="5" xfId="0" applyNumberFormat="1" applyFont="1" applyBorder="1"/>
    <xf numFmtId="3" fontId="2" fillId="0" borderId="0" xfId="0" applyNumberFormat="1" applyFont="1"/>
    <xf numFmtId="37" fontId="2" fillId="37" borderId="0" xfId="0" applyNumberFormat="1" applyFont="1" applyFill="1"/>
    <xf numFmtId="37" fontId="0" fillId="37" borderId="0" xfId="0" applyNumberFormat="1" applyFill="1"/>
    <xf numFmtId="234" fontId="0" fillId="0" borderId="0" xfId="0" applyNumberFormat="1"/>
    <xf numFmtId="0" fontId="83" fillId="0" borderId="0" xfId="0" applyFont="1" applyAlignment="1">
      <alignment horizontal="left"/>
    </xf>
    <xf numFmtId="37" fontId="2" fillId="0" borderId="29" xfId="0" applyNumberFormat="1" applyFont="1" applyBorder="1"/>
    <xf numFmtId="0" fontId="0" fillId="0" borderId="5" xfId="0" applyBorder="1"/>
    <xf numFmtId="235" fontId="0" fillId="0" borderId="0" xfId="0" applyNumberFormat="1"/>
    <xf numFmtId="3" fontId="84" fillId="0" borderId="0" xfId="0" applyNumberFormat="1" applyFont="1"/>
    <xf numFmtId="0" fontId="0" fillId="0" borderId="29" xfId="0" applyBorder="1"/>
    <xf numFmtId="37" fontId="0" fillId="0" borderId="29" xfId="0" applyNumberFormat="1" applyBorder="1"/>
    <xf numFmtId="0" fontId="0" fillId="0" borderId="29" xfId="0" quotePrefix="1" applyBorder="1" applyAlignment="1">
      <alignment horizontal="left" indent="1"/>
    </xf>
    <xf numFmtId="0" fontId="0" fillId="0" borderId="29" xfId="0" applyBorder="1" applyAlignment="1">
      <alignment horizontal="left" indent="1"/>
    </xf>
    <xf numFmtId="164" fontId="3" fillId="0" borderId="30" xfId="0" applyNumberFormat="1" applyFont="1" applyBorder="1"/>
    <xf numFmtId="0" fontId="0" fillId="0" borderId="23" xfId="0" applyBorder="1"/>
    <xf numFmtId="164" fontId="0" fillId="0" borderId="23" xfId="0" applyNumberFormat="1" applyBorder="1"/>
    <xf numFmtId="164" fontId="3" fillId="0" borderId="23" xfId="0" applyNumberFormat="1" applyFont="1" applyBorder="1"/>
    <xf numFmtId="0" fontId="1" fillId="0" borderId="32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235" fontId="2" fillId="36" borderId="25" xfId="0" applyNumberFormat="1" applyFont="1" applyFill="1" applyBorder="1" applyAlignment="1">
      <alignment horizontal="center"/>
    </xf>
    <xf numFmtId="8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223" fontId="2" fillId="0" borderId="0" xfId="0" applyNumberFormat="1" applyFont="1" applyAlignment="1">
      <alignment horizontal="center"/>
    </xf>
    <xf numFmtId="0" fontId="86" fillId="0" borderId="35" xfId="0" applyFont="1" applyBorder="1" applyAlignment="1">
      <alignment horizontal="left" indent="2"/>
    </xf>
    <xf numFmtId="37" fontId="85" fillId="0" borderId="36" xfId="0" applyNumberFormat="1" applyFont="1" applyBorder="1" applyAlignment="1">
      <alignment horizontal="right"/>
    </xf>
    <xf numFmtId="37" fontId="85" fillId="0" borderId="37" xfId="0" applyNumberFormat="1" applyFont="1" applyBorder="1" applyAlignment="1">
      <alignment horizontal="right"/>
    </xf>
    <xf numFmtId="0" fontId="86" fillId="0" borderId="0" xfId="0" applyFont="1" applyAlignment="1">
      <alignment horizontal="center"/>
    </xf>
    <xf numFmtId="37" fontId="85" fillId="0" borderId="0" xfId="0" applyNumberFormat="1" applyFont="1" applyAlignment="1">
      <alignment horizontal="right"/>
    </xf>
    <xf numFmtId="37" fontId="0" fillId="0" borderId="36" xfId="0" applyNumberFormat="1" applyBorder="1"/>
    <xf numFmtId="0" fontId="0" fillId="0" borderId="36" xfId="0" applyBorder="1"/>
    <xf numFmtId="37" fontId="0" fillId="0" borderId="32" xfId="0" applyNumberFormat="1" applyBorder="1"/>
    <xf numFmtId="0" fontId="1" fillId="0" borderId="1" xfId="0" applyFont="1" applyBorder="1" applyAlignment="1">
      <alignment horizontal="left"/>
    </xf>
    <xf numFmtId="164" fontId="3" fillId="0" borderId="1" xfId="0" applyNumberFormat="1" applyFont="1" applyBorder="1"/>
    <xf numFmtId="201" fontId="2" fillId="0" borderId="0" xfId="0" applyNumberFormat="1" applyFont="1" applyAlignment="1">
      <alignment horizontal="center"/>
    </xf>
    <xf numFmtId="164" fontId="3" fillId="37" borderId="0" xfId="0" applyNumberFormat="1" applyFont="1" applyFill="1"/>
    <xf numFmtId="37" fontId="3" fillId="37" borderId="0" xfId="0" applyNumberFormat="1" applyFont="1" applyFill="1"/>
    <xf numFmtId="37" fontId="61" fillId="37" borderId="0" xfId="0" applyNumberFormat="1" applyFont="1" applyFill="1"/>
    <xf numFmtId="0" fontId="0" fillId="37" borderId="0" xfId="0" applyFill="1"/>
    <xf numFmtId="37" fontId="1" fillId="37" borderId="0" xfId="0" applyNumberFormat="1" applyFont="1" applyFill="1"/>
    <xf numFmtId="37" fontId="0" fillId="37" borderId="29" xfId="0" applyNumberFormat="1" applyFill="1" applyBorder="1"/>
    <xf numFmtId="37" fontId="3" fillId="37" borderId="29" xfId="0" applyNumberFormat="1" applyFont="1" applyFill="1" applyBorder="1"/>
    <xf numFmtId="37" fontId="3" fillId="37" borderId="32" xfId="0" applyNumberFormat="1" applyFont="1" applyFill="1" applyBorder="1"/>
    <xf numFmtId="37" fontId="1" fillId="0" borderId="29" xfId="0" applyNumberFormat="1" applyFont="1" applyBorder="1"/>
    <xf numFmtId="0" fontId="61" fillId="0" borderId="33" xfId="0" applyFont="1" applyBorder="1" applyAlignment="1">
      <alignment horizontal="left" indent="1"/>
    </xf>
    <xf numFmtId="0" fontId="87" fillId="0" borderId="39" xfId="0" applyFont="1" applyBorder="1" applyAlignment="1">
      <alignment horizontal="center"/>
    </xf>
    <xf numFmtId="0" fontId="0" fillId="0" borderId="38" xfId="0" applyBorder="1"/>
    <xf numFmtId="234" fontId="2" fillId="0" borderId="38" xfId="0" applyNumberFormat="1" applyFont="1" applyBorder="1" applyAlignment="1">
      <alignment horizontal="center"/>
    </xf>
    <xf numFmtId="0" fontId="0" fillId="0" borderId="38" xfId="0" applyBorder="1" applyAlignment="1">
      <alignment horizontal="center"/>
    </xf>
    <xf numFmtId="234" fontId="2" fillId="0" borderId="40" xfId="0" applyNumberFormat="1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165" fontId="3" fillId="0" borderId="0" xfId="0" applyNumberFormat="1" applyFont="1"/>
    <xf numFmtId="6" fontId="0" fillId="0" borderId="0" xfId="0" applyNumberFormat="1"/>
    <xf numFmtId="165" fontId="2" fillId="0" borderId="30" xfId="0" applyNumberFormat="1" applyFont="1" applyBorder="1"/>
    <xf numFmtId="165" fontId="2" fillId="0" borderId="0" xfId="0" applyNumberFormat="1" applyFont="1"/>
    <xf numFmtId="165" fontId="2" fillId="0" borderId="23" xfId="0" applyNumberFormat="1" applyFont="1" applyBorder="1"/>
    <xf numFmtId="0" fontId="1" fillId="0" borderId="29" xfId="0" applyFont="1" applyBorder="1"/>
    <xf numFmtId="0" fontId="0" fillId="0" borderId="31" xfId="0" applyBorder="1"/>
    <xf numFmtId="0" fontId="0" fillId="0" borderId="34" xfId="0" applyBorder="1"/>
    <xf numFmtId="223" fontId="63" fillId="0" borderId="0" xfId="0" applyNumberFormat="1" applyFont="1"/>
    <xf numFmtId="0" fontId="61" fillId="0" borderId="43" xfId="0" applyFont="1" applyBorder="1"/>
    <xf numFmtId="0" fontId="3" fillId="0" borderId="43" xfId="0" applyFont="1" applyBorder="1"/>
    <xf numFmtId="0" fontId="88" fillId="0" borderId="0" xfId="0" applyFont="1"/>
    <xf numFmtId="234" fontId="63" fillId="0" borderId="0" xfId="0" applyNumberFormat="1" applyFont="1"/>
    <xf numFmtId="8" fontId="0" fillId="0" borderId="0" xfId="0" applyNumberFormat="1"/>
    <xf numFmtId="9" fontId="2" fillId="0" borderId="0" xfId="0" applyNumberFormat="1" applyFont="1"/>
    <xf numFmtId="7" fontId="61" fillId="37" borderId="0" xfId="0" applyNumberFormat="1" applyFont="1" applyFill="1"/>
    <xf numFmtId="37" fontId="3" fillId="0" borderId="23" xfId="0" applyNumberFormat="1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Continuous"/>
    </xf>
    <xf numFmtId="5" fontId="3" fillId="0" borderId="26" xfId="0" applyNumberFormat="1" applyFont="1" applyBorder="1"/>
    <xf numFmtId="236" fontId="2" fillId="0" borderId="27" xfId="0" applyNumberFormat="1" applyFont="1" applyBorder="1"/>
    <xf numFmtId="237" fontId="2" fillId="0" borderId="28" xfId="0" applyNumberFormat="1" applyFont="1" applyBorder="1"/>
    <xf numFmtId="224" fontId="0" fillId="0" borderId="0" xfId="0" applyNumberFormat="1"/>
    <xf numFmtId="164" fontId="0" fillId="0" borderId="38" xfId="0" applyNumberFormat="1" applyBorder="1" applyAlignment="1">
      <alignment horizontal="center"/>
    </xf>
    <xf numFmtId="9" fontId="0" fillId="0" borderId="0" xfId="0" applyNumberFormat="1"/>
    <xf numFmtId="37" fontId="3" fillId="0" borderId="30" xfId="0" applyNumberFormat="1" applyFont="1" applyBorder="1"/>
    <xf numFmtId="37" fontId="2" fillId="0" borderId="23" xfId="0" applyNumberFormat="1" applyFont="1" applyBorder="1"/>
    <xf numFmtId="0" fontId="0" fillId="37" borderId="0" xfId="0" applyFill="1" applyAlignment="1">
      <alignment horizontal="left" indent="1"/>
    </xf>
    <xf numFmtId="0" fontId="1" fillId="37" borderId="0" xfId="0" applyFont="1" applyFill="1" applyAlignment="1">
      <alignment horizontal="left" indent="1"/>
    </xf>
    <xf numFmtId="0" fontId="0" fillId="37" borderId="0" xfId="0" applyFill="1" applyAlignment="1">
      <alignment horizontal="left" indent="2"/>
    </xf>
    <xf numFmtId="0" fontId="0" fillId="37" borderId="38" xfId="0" applyFill="1" applyBorder="1" applyAlignment="1">
      <alignment horizontal="center"/>
    </xf>
    <xf numFmtId="0" fontId="1" fillId="37" borderId="0" xfId="0" applyFont="1" applyFill="1" applyAlignment="1">
      <alignment horizontal="left"/>
    </xf>
    <xf numFmtId="234" fontId="2" fillId="37" borderId="38" xfId="0" applyNumberFormat="1" applyFont="1" applyFill="1" applyBorder="1" applyAlignment="1">
      <alignment horizontal="center"/>
    </xf>
    <xf numFmtId="165" fontId="3" fillId="0" borderId="33" xfId="0" applyNumberFormat="1" applyFont="1" applyBorder="1"/>
    <xf numFmtId="37" fontId="1" fillId="0" borderId="0" xfId="0" quotePrefix="1" applyNumberFormat="1" applyFont="1"/>
    <xf numFmtId="194" fontId="2" fillId="37" borderId="0" xfId="0" applyNumberFormat="1" applyFont="1" applyFill="1"/>
    <xf numFmtId="238" fontId="2" fillId="37" borderId="0" xfId="0" applyNumberFormat="1" applyFont="1" applyFill="1"/>
    <xf numFmtId="201" fontId="1" fillId="0" borderId="42" xfId="0" applyNumberFormat="1" applyFont="1" applyBorder="1"/>
    <xf numFmtId="201" fontId="1" fillId="0" borderId="0" xfId="0" applyNumberFormat="1" applyFont="1"/>
    <xf numFmtId="9" fontId="0" fillId="37" borderId="38" xfId="0" applyNumberFormat="1" applyFill="1" applyBorder="1"/>
    <xf numFmtId="10" fontId="2" fillId="37" borderId="38" xfId="209" applyNumberFormat="1" applyFont="1" applyFill="1" applyBorder="1" applyAlignment="1">
      <alignment horizontal="center"/>
    </xf>
    <xf numFmtId="7" fontId="2" fillId="37" borderId="0" xfId="0" applyNumberFormat="1" applyFont="1" applyFill="1"/>
    <xf numFmtId="7" fontId="0" fillId="0" borderId="0" xfId="0" applyNumberFormat="1"/>
    <xf numFmtId="239" fontId="0" fillId="37" borderId="0" xfId="0" applyNumberFormat="1" applyFill="1"/>
    <xf numFmtId="237" fontId="2" fillId="0" borderId="0" xfId="0" applyNumberFormat="1" applyFont="1"/>
    <xf numFmtId="224" fontId="1" fillId="0" borderId="0" xfId="0" applyNumberFormat="1" applyFont="1" applyAlignment="1">
      <alignment horizontal="centerContinuous"/>
    </xf>
    <xf numFmtId="224" fontId="0" fillId="0" borderId="0" xfId="0" applyNumberFormat="1" applyAlignment="1">
      <alignment horizontal="centerContinuous"/>
    </xf>
    <xf numFmtId="7" fontId="3" fillId="0" borderId="26" xfId="0" applyNumberFormat="1" applyFont="1" applyBorder="1"/>
    <xf numFmtId="240" fontId="0" fillId="0" borderId="0" xfId="0" applyNumberFormat="1"/>
    <xf numFmtId="164" fontId="0" fillId="37" borderId="38" xfId="0" applyNumberFormat="1" applyFill="1" applyBorder="1" applyAlignment="1">
      <alignment horizontal="center"/>
    </xf>
    <xf numFmtId="241" fontId="61" fillId="0" borderId="0" xfId="0" applyNumberFormat="1" applyFont="1"/>
    <xf numFmtId="9" fontId="2" fillId="0" borderId="0" xfId="209" applyFont="1"/>
    <xf numFmtId="9" fontId="2" fillId="0" borderId="45" xfId="209" applyFont="1" applyBorder="1"/>
    <xf numFmtId="9" fontId="2" fillId="0" borderId="46" xfId="209" applyFont="1" applyBorder="1"/>
    <xf numFmtId="9" fontId="3" fillId="0" borderId="30" xfId="209" applyFont="1" applyBorder="1"/>
    <xf numFmtId="9" fontId="2" fillId="0" borderId="47" xfId="209" applyFont="1" applyBorder="1"/>
    <xf numFmtId="9" fontId="2" fillId="0" borderId="48" xfId="209" applyFont="1" applyBorder="1"/>
    <xf numFmtId="221" fontId="61" fillId="0" borderId="44" xfId="0" applyNumberFormat="1" applyFont="1" applyBorder="1"/>
    <xf numFmtId="9" fontId="3" fillId="0" borderId="0" xfId="209" applyFont="1"/>
    <xf numFmtId="9" fontId="3" fillId="0" borderId="23" xfId="209" applyFont="1" applyBorder="1"/>
    <xf numFmtId="224" fontId="91" fillId="37" borderId="0" xfId="0" applyNumberFormat="1" applyFont="1" applyFill="1"/>
    <xf numFmtId="10" fontId="0" fillId="37" borderId="0" xfId="209" applyNumberFormat="1" applyFont="1" applyFill="1"/>
  </cellXfs>
  <cellStyles count="210">
    <cellStyle name="$" xfId="1" xr:uid="{482038F4-E84A-45A9-837B-6FD1525601A7}"/>
    <cellStyle name="$m" xfId="2" xr:uid="{69B6321F-020F-4D1A-BAAF-0F0EA4BDB027}"/>
    <cellStyle name="$q" xfId="3" xr:uid="{CF42C1E3-BBA8-43F5-A478-7C1273124B8C}"/>
    <cellStyle name="$q*" xfId="4" xr:uid="{F150516A-4160-485A-8731-7CADD25C8EF9}"/>
    <cellStyle name="$qA" xfId="5" xr:uid="{F9ECCADE-61ED-4A7D-8C26-27192DECC706}"/>
    <cellStyle name="$qRange" xfId="6" xr:uid="{BE34ABDF-1AC4-426F-B2EE-618F3B56815C}"/>
    <cellStyle name="%" xfId="7" xr:uid="{FFDC2AE1-512F-477B-A73C-E5065975D524}"/>
    <cellStyle name="******************************************" xfId="8" xr:uid="{6F398997-A541-49E6-B9BF-BAF6BD7D994C}"/>
    <cellStyle name="10Q" xfId="184" xr:uid="{33B88824-202D-402E-B324-7E4F948A71C7}"/>
    <cellStyle name="2 Decimal Places_MA Software Comps - List_AccretionDilution OTGS v16.xls Chart 1" xfId="9" xr:uid="{39287BB8-D540-4C87-98F4-A4C8F890C09D}"/>
    <cellStyle name="20% - Accent1 2" xfId="10" xr:uid="{EAF3E463-AB7F-475E-A609-E816242F3805}"/>
    <cellStyle name="20% - Accent2 2" xfId="11" xr:uid="{1D2D662B-3011-4143-A873-4D1FC1A0DDC4}"/>
    <cellStyle name="20% - Accent3 2" xfId="12" xr:uid="{09D01895-65C5-49C4-B271-EE12C959E10B}"/>
    <cellStyle name="20% - Accent4 2" xfId="13" xr:uid="{27F5EA46-C217-4765-9C80-BA20D97BDAA3}"/>
    <cellStyle name="20% - Accent5 2" xfId="14" xr:uid="{97581FAE-AFF3-4CCC-8FB8-7F4A364AA1EE}"/>
    <cellStyle name="20% - Accent6 2" xfId="15" xr:uid="{1EC0255E-A437-47EE-BB84-7688772F70AD}"/>
    <cellStyle name="40% - Accent1 2" xfId="16" xr:uid="{0977950B-B041-4415-A2FF-F449B3C4F77B}"/>
    <cellStyle name="40% - Accent2 2" xfId="17" xr:uid="{4ABA37A9-B6DF-4769-BDC0-EB8519A72A14}"/>
    <cellStyle name="40% - Accent3 2" xfId="18" xr:uid="{9E0F0923-A896-47AF-9A15-8D8F7F3D19B9}"/>
    <cellStyle name="40% - Accent4 2" xfId="19" xr:uid="{86532499-64C8-4DA7-885C-DC54C347CA23}"/>
    <cellStyle name="40% - Accent5 2" xfId="20" xr:uid="{4A1E5BD6-5E47-45CB-91FF-D935BE103529}"/>
    <cellStyle name="40% - Accent6 2" xfId="21" xr:uid="{ABE8F783-6012-459A-868C-1AE61BAB61A6}"/>
    <cellStyle name="60% - Accent1 2" xfId="22" xr:uid="{B15DB0BF-1E17-419A-A28F-F0DEACE166E0}"/>
    <cellStyle name="60% - Accent2 2" xfId="23" xr:uid="{F44C48BC-DB12-478D-919F-7A1FA441BC79}"/>
    <cellStyle name="60% - Accent3 2" xfId="24" xr:uid="{87EB71A4-9322-45C5-ADF3-3E3FE3C2F9B6}"/>
    <cellStyle name="60% - Accent4 2" xfId="25" xr:uid="{7FB3323D-4323-41A9-B8AC-2C3AFAFEF867}"/>
    <cellStyle name="60% - Accent5 2" xfId="26" xr:uid="{3D34E64D-64BD-4F63-B377-E11ED4303EA0}"/>
    <cellStyle name="60% - Accent6 2" xfId="27" xr:uid="{1879ECE7-9B92-4E37-A4D1-F70695BE5820}"/>
    <cellStyle name="Accent1 2" xfId="28" xr:uid="{9F4EFD2E-08A8-498E-9385-AB332D14FA3D}"/>
    <cellStyle name="Accent2 2" xfId="29" xr:uid="{CD9B4400-63E2-4DC4-BCF7-1336B2A25986}"/>
    <cellStyle name="Accent3 2" xfId="30" xr:uid="{97F078FB-CB6E-415B-88B6-09EDD6C9CD1E}"/>
    <cellStyle name="Accent4 2" xfId="31" xr:uid="{FCE467F7-4F19-488E-834A-F56F344CD71E}"/>
    <cellStyle name="Accent5 2" xfId="32" xr:uid="{AF3A8666-D9AB-4ABA-A7B5-3F6AC665D561}"/>
    <cellStyle name="Accent6 2" xfId="33" xr:uid="{66AFE6CA-6E8A-4FBC-9DBD-5AF28A880E1C}"/>
    <cellStyle name="AFE" xfId="34" xr:uid="{BB3F00DF-FA39-46E0-987F-3C4B96F57ACE}"/>
    <cellStyle name="Bad 2" xfId="35" xr:uid="{53AB6857-9FED-441A-859E-FD64D272B403}"/>
    <cellStyle name="Balance" xfId="36" xr:uid="{D7C94628-DE7F-45A2-8BBD-01DF73B7EB40}"/>
    <cellStyle name="BalanceSheet" xfId="37" xr:uid="{167BF0D1-3DCF-4D93-B000-BCDB8646ED20}"/>
    <cellStyle name="Body_$Numeric" xfId="38" xr:uid="{E6AE4233-F395-4143-8DE2-ECDAA43863B8}"/>
    <cellStyle name="Bold Header" xfId="39" xr:uid="{16EC5ABB-E19C-4693-8001-C75B341D2152}"/>
    <cellStyle name="Calculation 2" xfId="40" xr:uid="{2D06F8D9-0688-4F7A-8619-BD0179483174}"/>
    <cellStyle name="CashFlow" xfId="41" xr:uid="{295AEC1C-3138-4851-8F37-03862FB0B904}"/>
    <cellStyle name="ChartingText" xfId="185" xr:uid="{A1FEF7E2-D002-490A-90B7-3EE45856314F}"/>
    <cellStyle name="Check" xfId="42" xr:uid="{FF257FED-5B29-4592-9626-A8EACA019BD1}"/>
    <cellStyle name="Check Cell 2" xfId="43" xr:uid="{9F40C799-FBE1-4757-8A2D-59C2822E9E5E}"/>
    <cellStyle name="CHPTop" xfId="186" xr:uid="{FB0C2C0A-EBF6-4C51-AC7E-CBCD78A081E8}"/>
    <cellStyle name="ColHeading" xfId="44" xr:uid="{599503BC-73DB-44E1-AFDB-6FCBE79D31F6}"/>
    <cellStyle name="colheadleft" xfId="45" xr:uid="{6ED04B1F-588E-4BE9-99E3-63D3A2E8B455}"/>
    <cellStyle name="colheadright" xfId="46" xr:uid="{12095AE9-4E82-4EB8-A24C-635D9AD96681}"/>
    <cellStyle name="ColumnHeaderNormal" xfId="187" xr:uid="{3BE655CB-ADAB-49A6-92A5-69A6203C65A0}"/>
    <cellStyle name="Comma 2" xfId="47" xr:uid="{A149233A-C2BC-45EB-97F7-1A9BBDF87130}"/>
    <cellStyle name="Comma0" xfId="48" xr:uid="{343B6A26-5CA6-4BA7-87D6-D58A96C85E45}"/>
    <cellStyle name="Comma2" xfId="49" xr:uid="{A0B09BEC-8555-4490-AE26-CBE0DA69BB62}"/>
    <cellStyle name="Company" xfId="50" xr:uid="{FFDAA760-4AD1-48AF-9AA1-98B2CF548992}"/>
    <cellStyle name="CurRatio" xfId="51" xr:uid="{D94C049B-F033-44AB-ACD1-5BC586597436}"/>
    <cellStyle name="Currency--" xfId="188" xr:uid="{918F4CE3-C381-474C-B035-5EB7AC3958BB}"/>
    <cellStyle name="Currency [1]" xfId="52" xr:uid="{E77FDB96-9723-4355-AD25-C82B6E048E9C}"/>
    <cellStyle name="Currency [2]" xfId="53" xr:uid="{2D32D187-BA4C-440F-A436-6351A7F89F8F}"/>
    <cellStyle name="Currency0" xfId="54" xr:uid="{793C9922-37CD-49E5-9071-DD3E333742DB}"/>
    <cellStyle name="Currency2" xfId="55" xr:uid="{B5E0FBF3-7EA9-4775-92D8-0A0BE4D4F9A7}"/>
    <cellStyle name="d_yield" xfId="56" xr:uid="{4C414F0A-CB35-44E0-8EDA-198CEFF93C26}"/>
    <cellStyle name="d_yield_CW's MAKER MODEL" xfId="57" xr:uid="{A911831B-6F7E-4B61-B565-A73DF74BC881}"/>
    <cellStyle name="d_yield_valuation" xfId="58" xr:uid="{D6E838A4-CC97-4948-A752-DA2D367EA27F}"/>
    <cellStyle name="Date [d-mmm-yy]" xfId="59" xr:uid="{3E6EFF28-D70B-4CDA-9AD5-E3F79132C48A}"/>
    <cellStyle name="Date [mm-dd-yy]" xfId="189" xr:uid="{4654B13A-3534-4F56-A740-65B1C17A1C00}"/>
    <cellStyle name="Date [mm-dd-yyyy]" xfId="190" xr:uid="{A62205D2-6959-4E37-B73A-B7A4E0C4020B}"/>
    <cellStyle name="Date [mm-d-yyyy]" xfId="191" xr:uid="{6CDF97BD-991A-4A17-95FB-F775FCE57CDF}"/>
    <cellStyle name="Date [mmm-d-yyyy]" xfId="60" xr:uid="{A05AAE45-A4B8-476E-9011-92F62F902F16}"/>
    <cellStyle name="Date [mmm-yyyy]" xfId="61" xr:uid="{BAA11B53-DCF6-456F-8868-BEDF12E613CC}"/>
    <cellStyle name="Dates" xfId="62" xr:uid="{3FCFAC57-D76B-4A9C-8782-C9F1006F10E0}"/>
    <cellStyle name="DateYear" xfId="63" xr:uid="{086A8F83-BC4A-4500-B13A-207505E9E2F3}"/>
    <cellStyle name="Dezimal_Capital expenditure planning FY 2000" xfId="64" xr:uid="{81FB247C-C027-4316-A976-E19B069CFA34}"/>
    <cellStyle name="Dollar" xfId="65" xr:uid="{87F983AC-5A5B-4D0D-8FBD-CAE330C0AC19}"/>
    <cellStyle name="Dollars" xfId="66" xr:uid="{B250D7AE-1692-4E19-8A02-09A8FBDC3B30}"/>
    <cellStyle name="DollarWhole" xfId="67" xr:uid="{B518D740-7E4F-4D74-840B-BDB7000A0190}"/>
    <cellStyle name="eps" xfId="68" xr:uid="{093E1CCE-D212-492D-A245-886A38741B9C}"/>
    <cellStyle name="eps$" xfId="69" xr:uid="{FB726DAB-5C74-4BFD-9008-D894C2BA95C0}"/>
    <cellStyle name="eps$A" xfId="70" xr:uid="{54C3882A-207D-4BAC-92F3-74D965196F1B}"/>
    <cellStyle name="eps$E" xfId="71" xr:uid="{C0B984AE-A792-4A9D-B872-62EF41314B2A}"/>
    <cellStyle name="epsA" xfId="72" xr:uid="{A290F203-648A-4FA9-9AFF-3ECF6594D0E5}"/>
    <cellStyle name="EPSActual" xfId="73" xr:uid="{080FDC25-CFE0-4E30-83E5-DE1BE47ACDC0}"/>
    <cellStyle name="epsE" xfId="74" xr:uid="{503B5C3D-269C-48C6-BDA2-42BB707E9E40}"/>
    <cellStyle name="EPSEstimate" xfId="75" xr:uid="{A8D69479-824C-444E-90FC-05ADCEB73E5D}"/>
    <cellStyle name="Euro" xfId="76" xr:uid="{9BC4559E-2A3B-424F-97C9-1BE5291F5C49}"/>
    <cellStyle name="Explanatory Text 2" xfId="77" xr:uid="{7F14D1A2-8073-41DC-B48C-09AE36DB839C}"/>
    <cellStyle name="fy_eps$" xfId="78" xr:uid="{7D0E25CD-D14D-4C37-91AA-837257745953}"/>
    <cellStyle name="g_rate" xfId="79" xr:uid="{375204F2-74DB-4975-B7D6-5C099A801854}"/>
    <cellStyle name="g_rate_CW's MAKER MODEL" xfId="80" xr:uid="{DEF52150-F12F-4F80-9660-FFB2B58576C6}"/>
    <cellStyle name="g_rate_valuation" xfId="81" xr:uid="{59EE49E0-BF46-4239-927E-06B3F116BB68}"/>
    <cellStyle name="General" xfId="82" xr:uid="{D68E2E40-4A3D-4EDC-B253-F1DB9D7A9EF6}"/>
    <cellStyle name="Good 2" xfId="83" xr:uid="{6D7399C6-9C8B-4A86-8F20-A467AD3FD504}"/>
    <cellStyle name="GrowthRate" xfId="84" xr:uid="{79DD0586-B2F1-498B-84CF-414A7CB5D434}"/>
    <cellStyle name="GrowthSeq" xfId="85" xr:uid="{EF34D209-A05F-49CA-AF47-5D0F15B7C3A4}"/>
    <cellStyle name="Hard Number Input" xfId="86" xr:uid="{E61F1347-34AF-41AB-A7C0-7FCA73D9EDE5}"/>
    <cellStyle name="Heading 1 2" xfId="87" xr:uid="{31024E49-64FB-481D-985E-46D6170B4CBE}"/>
    <cellStyle name="Heading 2 2" xfId="88" xr:uid="{9CEC6F47-7A33-44EB-8DA0-84FA35FB48A8}"/>
    <cellStyle name="Heading 3 2" xfId="89" xr:uid="{5ADF1702-C5DF-4372-8FF0-CFDEF616FEF3}"/>
    <cellStyle name="Heading 4 2" xfId="90" xr:uid="{9B04E1A1-44AF-4AAC-9540-074609577643}"/>
    <cellStyle name="Historical Number" xfId="91" xr:uid="{846EEB17-034A-41A5-867A-A52936ECD6A9}"/>
    <cellStyle name="iemens" xfId="92" xr:uid="{871D5274-680A-4D02-A916-1EE2BE18F68C}"/>
    <cellStyle name="Income" xfId="93" xr:uid="{7356A5A6-D1FF-45E6-9BD2-D0A5088AABB3}"/>
    <cellStyle name="IncomeStatement" xfId="94" xr:uid="{4DCF7646-A2EE-4767-B99F-F1ED668905FB}"/>
    <cellStyle name="Input 2" xfId="95" xr:uid="{42DD371D-E053-4598-A227-2FB32C283028}"/>
    <cellStyle name="Input Fixed [0]" xfId="96" xr:uid="{60EE9A67-CB9C-46D2-9F8A-C1FC26837CC0}"/>
    <cellStyle name="Integer" xfId="97" xr:uid="{37199A02-DC26-49A6-B716-B35E660073A0}"/>
    <cellStyle name="Inverse Header" xfId="98" xr:uid="{5980AEEE-043E-423B-A59D-27FC5EEBB07F}"/>
    <cellStyle name="Invisible" xfId="192" xr:uid="{BA7713E3-11D0-4352-B244-A007C120ABA0}"/>
    <cellStyle name="Item" xfId="99" xr:uid="{1B99943B-6A74-4F22-AA12-982FF78DB2CA}"/>
    <cellStyle name="ItemTypeClass" xfId="100" xr:uid="{496CAFF0-A27C-4B9E-A39E-4137E89A7228}"/>
    <cellStyle name="Linked Cell 2" xfId="101" xr:uid="{3111636E-26F6-4CEA-B465-78FAF9B6E44D}"/>
    <cellStyle name="LTGR" xfId="102" xr:uid="{DC75CCE8-A713-4240-922A-A421B9BCF924}"/>
    <cellStyle name="m" xfId="103" xr:uid="{EDD543A2-D089-4118-9949-7E9FD88E340F}"/>
    <cellStyle name="m$" xfId="104" xr:uid="{E6BE8A65-CC4F-424D-BEB5-2033DE3946F9}"/>
    <cellStyle name="m/d/yy" xfId="193" xr:uid="{CCE33C56-7AA3-418F-9F8A-DBA6945A5F05}"/>
    <cellStyle name="m_CW's MAKER MODEL" xfId="105" xr:uid="{FC17D159-6BCF-44FD-86CE-640D20375C04}"/>
    <cellStyle name="m_valuation" xfId="106" xr:uid="{EC832C9C-D9CC-4870-BB81-60B4A8950373}"/>
    <cellStyle name="Margin" xfId="107" xr:uid="{2AF24283-BC6E-40BD-BFE0-0573A6B06FB6}"/>
    <cellStyle name="Margins" xfId="108" xr:uid="{0B91F346-43C9-45DB-8D7D-F57E70E3DC0D}"/>
    <cellStyle name="mm" xfId="109" xr:uid="{3515D7B1-4966-4D48-847D-B9A0B23B0BD4}"/>
    <cellStyle name="Multiple" xfId="110" xr:uid="{A22378C3-78B6-4655-9B10-9C4979E6B1F2}"/>
    <cellStyle name="MyStyle" xfId="194" xr:uid="{AE7C87C3-D7D2-4B60-865E-0CC8DD211652}"/>
    <cellStyle name="NA is zero" xfId="111" xr:uid="{955D060A-554A-43C7-BF18-91EF4F132082}"/>
    <cellStyle name="Neutral 2" xfId="112" xr:uid="{FB639849-D6F2-48A5-843D-5282A60C64A6}"/>
    <cellStyle name="NewColumnHeaderNormal" xfId="195" xr:uid="{9E229575-8742-4C7E-AB7A-8CE6BEAD7BF1}"/>
    <cellStyle name="NewSectionHeaderNormal" xfId="196" xr:uid="{DBCC8ECF-DCCD-4655-89B0-92E648332CD6}"/>
    <cellStyle name="NewTitleNormal" xfId="197" xr:uid="{4911381C-A53E-48D6-B860-E24E113E694F}"/>
    <cellStyle name="Normal" xfId="0" builtinId="0"/>
    <cellStyle name="Normal--" xfId="198" xr:uid="{197CA139-C6C1-4596-A390-59C1A3C1EE6E}"/>
    <cellStyle name="Normal [0]" xfId="113" xr:uid="{9E741B59-8339-4258-BF9A-6B2A3027FE9D}"/>
    <cellStyle name="Normal [1]" xfId="114" xr:uid="{4059B778-5B73-40D3-8321-4615D4130D2D}"/>
    <cellStyle name="Normal [2]" xfId="115" xr:uid="{4A8E5D08-E4C7-4828-B22B-0456FCB4AF14}"/>
    <cellStyle name="Normal [3]" xfId="116" xr:uid="{D02DF708-3A3A-4E92-8C09-0F4DCA1DC737}"/>
    <cellStyle name="Normal 2" xfId="117" xr:uid="{8B877D69-C157-4688-8AAF-EC189947685E}"/>
    <cellStyle name="Normal Bold" xfId="118" xr:uid="{BC714FF7-AE72-4F15-8A40-766B06946EA8}"/>
    <cellStyle name="Normal Pct" xfId="119" xr:uid="{6F394AAA-79CA-435D-9192-A33485DF8A04}"/>
    <cellStyle name="NormalX" xfId="120" xr:uid="{259FDB4F-8BD6-4640-BD16-F91C8E58982A}"/>
    <cellStyle name="Note 2" xfId="121" xr:uid="{9DE1E15B-493F-43CE-981B-5C2DE50282B8}"/>
    <cellStyle name="NPPESalesPct" xfId="122" xr:uid="{4D8DB6E4-0E10-4AF5-8DC0-46B1109CEEFA}"/>
    <cellStyle name="Number" xfId="123" xr:uid="{F5BD183E-004E-4DDA-9A0C-F239B883AE13}"/>
    <cellStyle name="NWI%S" xfId="124" xr:uid="{789100E6-1EE4-4726-A6CC-43ECB1182D72}"/>
    <cellStyle name="Output 2" xfId="125" xr:uid="{06E7AD2F-A1E6-41A9-B324-CFC6E5A7371B}"/>
    <cellStyle name="P/E" xfId="126" xr:uid="{96D73900-8077-4207-B3A3-952248868782}"/>
    <cellStyle name="Palatino" xfId="127" xr:uid="{42A9ECA8-8ED4-47A3-9FF9-975B344718A3}"/>
    <cellStyle name="pc1" xfId="128" xr:uid="{0C6E741B-8A17-46EE-922A-B97C6F67B318}"/>
    <cellStyle name="pe" xfId="129" xr:uid="{7A9EAB25-050A-45EA-B234-5BB37DBBFFF5}"/>
    <cellStyle name="PE/LTGR" xfId="130" xr:uid="{971DF607-F36E-44DD-8DE1-8822EAEFE1DF}"/>
    <cellStyle name="PEG" xfId="131" xr:uid="{137C9C8B-081D-4A44-9C91-6EA8421C0488}"/>
    <cellStyle name="Percent" xfId="209" builtinId="5"/>
    <cellStyle name="Percent [0]" xfId="132" xr:uid="{68BA53BB-49BE-4571-A800-F7E711C2611B}"/>
    <cellStyle name="Percent [1]" xfId="133" xr:uid="{BCFBB69C-7BC0-4D00-9E35-148CADF6E4BC}"/>
    <cellStyle name="Percent [2]" xfId="134" xr:uid="{D19174E6-CE69-4CE7-84B0-E81E51ABB5DE}"/>
    <cellStyle name="PercentChange" xfId="135" xr:uid="{A2BEB646-1FE0-49DD-9D3E-BF166F9BD018}"/>
    <cellStyle name="PercentPresentation" xfId="136" xr:uid="{562E6B9E-178F-4F22-BF43-24D43BD3334F}"/>
    <cellStyle name="PerShare" xfId="137" xr:uid="{D48E56EA-D284-496C-A5D8-1A2DD7FD63D7}"/>
    <cellStyle name="POPS" xfId="138" xr:uid="{C02C6256-8037-416C-AA45-8A9AB7C9F4B3}"/>
    <cellStyle name="Presentation" xfId="139" xr:uid="{AC18D69B-9B9A-4176-9186-6B3E554A83C2}"/>
    <cellStyle name="PresentationZero" xfId="140" xr:uid="{FACD36EB-F07C-4911-A175-11B85D68F838}"/>
    <cellStyle name="price" xfId="141" xr:uid="{F7B6525D-86F4-4163-B4D1-91A446C73A5B}"/>
    <cellStyle name="q" xfId="142" xr:uid="{F4B338B9-E967-4972-9322-67CC3DF8F8AE}"/>
    <cellStyle name="q_CW's MAKER MODEL" xfId="143" xr:uid="{D6A91953-816B-4734-9D4A-971AE509D20E}"/>
    <cellStyle name="QEPS-h" xfId="144" xr:uid="{B0512370-E4E9-4F86-A39B-BA9A47EF2E93}"/>
    <cellStyle name="QEPS-H1" xfId="145" xr:uid="{DF8C2C4F-2E6D-418F-AF72-E1106B921B59}"/>
    <cellStyle name="qRange" xfId="146" xr:uid="{7931752F-AD81-4290-A176-386B07D289CA}"/>
    <cellStyle name="range" xfId="147" xr:uid="{B6871120-F6C0-43D6-9169-BA9C1026E6F5}"/>
    <cellStyle name="RatioX" xfId="148" xr:uid="{5B0CF5B2-0918-42D8-B6FC-B71311999161}"/>
    <cellStyle name="Red font" xfId="199" xr:uid="{CA96E31D-7B1A-4A63-99BC-66A2368CDB36}"/>
    <cellStyle name="Report" xfId="149" xr:uid="{53D403A5-980A-48DF-B235-E5DDA4BE7E94}"/>
    <cellStyle name="Right" xfId="150" xr:uid="{1945E785-A1FA-4F27-A51D-50C3A8E8571C}"/>
    <cellStyle name="SectionHeaderNormal" xfId="200" xr:uid="{C787D562-9741-4823-B84B-B62E9CC4815A}"/>
    <cellStyle name="SectionHeading" xfId="151" xr:uid="{9901D616-F643-49AC-8611-C3D0574B91FE}"/>
    <cellStyle name="Shares" xfId="152" xr:uid="{568BEF0A-9C4C-4AC2-BE96-47D334B328C8}"/>
    <cellStyle name="StockPrice" xfId="153" xr:uid="{C282337B-9C79-497A-847C-52944376EC29}"/>
    <cellStyle name="Style 1" xfId="154" xr:uid="{38666C27-4A6C-4931-81A5-3FDEFF1F70A5}"/>
    <cellStyle name="Style 21" xfId="155" xr:uid="{BC80B5CA-A1AE-4563-84DD-64A97C8A4384}"/>
    <cellStyle name="Style 22" xfId="156" xr:uid="{944AB224-D117-4637-A788-EAC6AA9D11C6}"/>
    <cellStyle name="Style 23" xfId="157" xr:uid="{65E798A3-7843-4FDA-9800-7C44B858AFA9}"/>
    <cellStyle name="Style 24" xfId="158" xr:uid="{8662BBAF-65F7-448A-BE7F-C68001671DE7}"/>
    <cellStyle name="Style 26" xfId="159" xr:uid="{1364509A-944E-4358-9DE5-EADE7FC54C25}"/>
    <cellStyle name="Style 27" xfId="160" xr:uid="{2271B998-29CD-4BFE-BBB6-80608D472A7F}"/>
    <cellStyle name="Style 34" xfId="161" xr:uid="{E0870BE5-06AB-40D0-BB47-A30137FF71B4}"/>
    <cellStyle name="Style 37" xfId="162" xr:uid="{6065AD94-29EE-4AAD-8297-FEFA2B2DBA85}"/>
    <cellStyle name="Style 63" xfId="163" xr:uid="{6CCE6F8F-1682-400B-8589-28C3DC115294}"/>
    <cellStyle name="SubDollar" xfId="164" xr:uid="{252041E3-D518-496E-B31D-0041C5C95460}"/>
    <cellStyle name="SubGrowth" xfId="165" xr:uid="{61F46A7D-27D1-43E5-860D-7F0429B02B2E}"/>
    <cellStyle name="SubGrowthRate" xfId="166" xr:uid="{A9BE10FE-9001-4478-9AC8-E8618B45B8C7}"/>
    <cellStyle name="SubMargins" xfId="167" xr:uid="{42FA2FAA-18EE-4277-B9C4-39DA8CDC64C9}"/>
    <cellStyle name="SubPenetration" xfId="168" xr:uid="{27588EEA-621F-4582-8645-F90B9EE9FADA}"/>
    <cellStyle name="Subscribers" xfId="169" xr:uid="{8E8C9B62-1A7D-4A13-BAAE-DE5BAB01C244}"/>
    <cellStyle name="SubScript" xfId="201" xr:uid="{E8C3F877-B0F5-4329-AF26-5B62BA463A98}"/>
    <cellStyle name="SubVariable" xfId="170" xr:uid="{2DE95879-2B00-461A-AFE6-D88C57238351}"/>
    <cellStyle name="SuperScript" xfId="202" xr:uid="{B5BF7A3E-E58B-44D9-8154-66513D6E7C89}"/>
    <cellStyle name="tcn" xfId="171" xr:uid="{F1338420-E8EB-42E4-B042-FE3E873B740F}"/>
    <cellStyle name="TextBold" xfId="203" xr:uid="{480BB85E-E03D-4EB2-A7F9-95AC14727D08}"/>
    <cellStyle name="TextItalic" xfId="204" xr:uid="{366BDCEC-87C8-407D-BC63-5CFD1DAF71A2}"/>
    <cellStyle name="TextNormal" xfId="205" xr:uid="{F0144D8B-E158-4BA3-AFA7-8786D1609D8D}"/>
    <cellStyle name="Times" xfId="206" xr:uid="{B49BEFC3-410A-4367-B427-4D352D2CC345}"/>
    <cellStyle name="Times [1]" xfId="172" xr:uid="{0135EB79-7288-4AB4-B461-FF0FF4650779}"/>
    <cellStyle name="Times [2]" xfId="173" xr:uid="{9AB5D6F7-F491-4613-9948-EF654F4734A7}"/>
    <cellStyle name="Title 2" xfId="174" xr:uid="{76648D3C-1E1E-4E8E-B31C-538F17FC09FE}"/>
    <cellStyle name="title2" xfId="175" xr:uid="{1BCFC99D-1956-48D9-B3C0-1D9B8515A528}"/>
    <cellStyle name="TitleII" xfId="176" xr:uid="{0568FE12-961F-443B-A883-D14E5522EBEA}"/>
    <cellStyle name="TitleNormal" xfId="207" xr:uid="{86FEB10E-1FD9-4F40-BF0E-1D502405CCE8}"/>
    <cellStyle name="Titles" xfId="177" xr:uid="{4F029A1E-0B78-41AA-98B3-0E13E2920A19}"/>
    <cellStyle name="TitleSub" xfId="178" xr:uid="{864D5571-882F-4A0E-BF0E-E32A282BF23F}"/>
    <cellStyle name="tn" xfId="179" xr:uid="{E72D6AA9-F0FE-49C2-AFFA-9354B61B374E}"/>
    <cellStyle name="Total 2" xfId="180" xr:uid="{66DFF369-BB70-42C1-836C-DD7BE17DCAAF}"/>
    <cellStyle name="Warning Text 2" xfId="181" xr:uid="{2E278FF7-D32D-45FA-9449-426AD24770E9}"/>
    <cellStyle name="WholeNumber" xfId="182" xr:uid="{ADF88D27-C102-4021-9C79-3039D3807F39}"/>
    <cellStyle name="Year&quot;E&quot;" xfId="183" xr:uid="{D9E08384-E304-4F73-9938-C05D0683089C}"/>
    <cellStyle name="Years" xfId="208" xr:uid="{8B02E605-B22D-418F-A9DA-F1EF33E47D63}"/>
  </cellStyles>
  <dxfs count="0"/>
  <tableStyles count="0" defaultTableStyle="TableStyleMedium2" defaultPivotStyle="PivotStyleLight16"/>
  <colors>
    <mruColors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0EA2F9-C87A-428F-8C53-0B6B7B1B836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7291d2-af9f-4668-a37c-0b6d5c7421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1CCC-9A0A-44A1-A41A-D012CDF959C1}">
  <dimension ref="B1:V248"/>
  <sheetViews>
    <sheetView tabSelected="1" topLeftCell="A3" zoomScale="85" zoomScaleNormal="85" workbookViewId="0">
      <selection activeCell="H28" sqref="H28"/>
    </sheetView>
  </sheetViews>
  <sheetFormatPr defaultRowHeight="15"/>
  <cols>
    <col min="1" max="2" width="1.7109375" customWidth="1"/>
    <col min="3" max="3" width="56.7109375" bestFit="1" customWidth="1"/>
    <col min="4" max="4" width="12.5703125" bestFit="1" customWidth="1"/>
    <col min="5" max="7" width="11.5703125" bestFit="1" customWidth="1"/>
    <col min="9" max="9" width="9.28515625" bestFit="1" customWidth="1"/>
    <col min="10" max="11" width="10.42578125" bestFit="1" customWidth="1"/>
    <col min="12" max="12" width="18.85546875" bestFit="1" customWidth="1"/>
    <col min="13" max="13" width="10" bestFit="1" customWidth="1"/>
  </cols>
  <sheetData>
    <row r="1" spans="2:18" ht="15.75" thickBot="1"/>
    <row r="2" spans="2:18" ht="15.75" thickBot="1">
      <c r="C2" s="1" t="str">
        <f>"Financial Statement Model for "&amp;D5</f>
        <v>Financial Statement Model for Micron</v>
      </c>
      <c r="D2" s="49"/>
      <c r="E2" s="49"/>
      <c r="F2" s="49"/>
      <c r="G2" s="49"/>
      <c r="H2" s="49"/>
      <c r="I2" s="49"/>
      <c r="J2" s="49"/>
      <c r="K2" s="49"/>
    </row>
    <row r="3" spans="2:18">
      <c r="C3" s="3" t="s">
        <v>0</v>
      </c>
      <c r="E3" s="41"/>
      <c r="F3" s="41"/>
      <c r="G3" s="41"/>
      <c r="H3" s="41"/>
    </row>
    <row r="5" spans="2:18">
      <c r="C5" s="2" t="s">
        <v>1</v>
      </c>
      <c r="D5" s="76" t="s">
        <v>170</v>
      </c>
    </row>
    <row r="6" spans="2:18">
      <c r="C6" s="2" t="s">
        <v>2</v>
      </c>
      <c r="D6" s="76" t="s">
        <v>171</v>
      </c>
    </row>
    <row r="7" spans="2:18">
      <c r="C7" t="s">
        <v>3</v>
      </c>
      <c r="D7" s="77">
        <v>1</v>
      </c>
    </row>
    <row r="8" spans="2:18">
      <c r="C8" t="s">
        <v>5</v>
      </c>
      <c r="D8" s="79">
        <v>45937</v>
      </c>
    </row>
    <row r="9" spans="2:18">
      <c r="C9" t="s">
        <v>4</v>
      </c>
      <c r="D9" s="78">
        <v>185.69</v>
      </c>
    </row>
    <row r="10" spans="2:18">
      <c r="C10" s="2" t="s">
        <v>6</v>
      </c>
      <c r="D10" s="80">
        <v>45897</v>
      </c>
      <c r="G10" s="132"/>
    </row>
    <row r="11" spans="2:18">
      <c r="C11" t="s">
        <v>7</v>
      </c>
      <c r="D11" s="91">
        <v>1122.4659999999999</v>
      </c>
    </row>
    <row r="12" spans="2:18">
      <c r="C12" t="s">
        <v>199</v>
      </c>
      <c r="D12" s="91" t="s">
        <v>226</v>
      </c>
    </row>
    <row r="14" spans="2:18">
      <c r="B14" t="s">
        <v>172</v>
      </c>
      <c r="C14" s="6" t="s">
        <v>8</v>
      </c>
      <c r="D14" s="8"/>
      <c r="E14" s="8"/>
      <c r="F14" s="8"/>
      <c r="G14" s="8"/>
      <c r="H14" s="8"/>
      <c r="I14" s="8"/>
      <c r="J14" s="8"/>
      <c r="K14" s="8"/>
    </row>
    <row r="15" spans="2:18">
      <c r="C15" t="s">
        <v>9</v>
      </c>
      <c r="D15" s="9">
        <f>E15-1</f>
        <v>2023</v>
      </c>
      <c r="E15" s="9">
        <f>F15-1</f>
        <v>2024</v>
      </c>
      <c r="F15" s="9">
        <v>2025</v>
      </c>
      <c r="G15" s="10">
        <v>2026</v>
      </c>
      <c r="H15" s="10">
        <f>G15+1</f>
        <v>2027</v>
      </c>
      <c r="I15" s="10">
        <f>H15+1</f>
        <v>2028</v>
      </c>
      <c r="J15" s="10">
        <f>I15+1</f>
        <v>2029</v>
      </c>
      <c r="K15" s="10">
        <f>J15+1</f>
        <v>2030</v>
      </c>
    </row>
    <row r="16" spans="2:18">
      <c r="C16" s="11" t="s">
        <v>10</v>
      </c>
      <c r="D16" s="57">
        <f>DATE(2024,8,29)-364</f>
        <v>45169</v>
      </c>
      <c r="E16" s="57">
        <f>DATE(2025,8,28)-364</f>
        <v>45533</v>
      </c>
      <c r="F16" s="57">
        <f>D10</f>
        <v>45897</v>
      </c>
      <c r="G16" s="57">
        <f>DATE(2025,8,28)+364</f>
        <v>46261</v>
      </c>
      <c r="H16" s="57">
        <f>DATE(2026,8,27)+364</f>
        <v>46625</v>
      </c>
      <c r="I16" s="57">
        <f>DATE(2027,8,26)+371</f>
        <v>46996</v>
      </c>
      <c r="J16" s="57">
        <f>DATE(2028,8,31)+364</f>
        <v>47360</v>
      </c>
      <c r="K16" s="57">
        <f>DATE(2029,8,30)+364</f>
        <v>47724</v>
      </c>
      <c r="M16" s="52" t="s">
        <v>174</v>
      </c>
      <c r="N16" s="64"/>
      <c r="O16" s="64"/>
      <c r="P16" s="64"/>
      <c r="Q16" s="64"/>
      <c r="R16" s="64"/>
    </row>
    <row r="17" spans="3:14">
      <c r="C17" s="13"/>
      <c r="D17" s="14"/>
      <c r="E17" s="15"/>
      <c r="F17" s="15"/>
      <c r="G17" s="53"/>
      <c r="H17" s="54"/>
      <c r="I17" s="54"/>
      <c r="J17" s="15"/>
      <c r="K17" s="15"/>
    </row>
    <row r="18" spans="3:14">
      <c r="C18" t="s">
        <v>11</v>
      </c>
      <c r="D18" s="4">
        <v>15540</v>
      </c>
      <c r="E18" s="4">
        <v>25111</v>
      </c>
      <c r="F18" s="4">
        <v>37378</v>
      </c>
      <c r="G18" s="16">
        <f ca="1">F18*(1+G39)</f>
        <v>54518.177951999991</v>
      </c>
      <c r="H18" s="16">
        <f t="shared" ref="H18:K18" ca="1" si="0">G18*(1+H39)</f>
        <v>67519.534147228798</v>
      </c>
      <c r="I18" s="16">
        <f t="shared" ca="1" si="0"/>
        <v>74513.922511611614</v>
      </c>
      <c r="J18" s="16">
        <f t="shared" ca="1" si="0"/>
        <v>78893.68434811155</v>
      </c>
      <c r="K18" s="16">
        <f t="shared" ca="1" si="0"/>
        <v>83389.785898010741</v>
      </c>
      <c r="M18" t="s">
        <v>212</v>
      </c>
    </row>
    <row r="19" spans="3:14">
      <c r="C19" t="s">
        <v>12</v>
      </c>
      <c r="D19" s="4">
        <v>-16956</v>
      </c>
      <c r="E19" s="4">
        <v>-19498</v>
      </c>
      <c r="F19" s="4">
        <v>-22505</v>
      </c>
      <c r="G19" s="16">
        <f ca="1">G20-G18</f>
        <v>-26375.894493177595</v>
      </c>
      <c r="H19" s="16">
        <f t="shared" ref="H19:K19" ca="1" si="1">H20-H18</f>
        <v>-36717.122669263023</v>
      </c>
      <c r="I19" s="16">
        <f t="shared" ca="1" si="1"/>
        <v>-44991.506412511095</v>
      </c>
      <c r="J19" s="16">
        <f t="shared" ca="1" si="1"/>
        <v>-52369.627670276444</v>
      </c>
      <c r="K19" s="16">
        <f t="shared" ca="1" si="1"/>
        <v>-60357.527032980171</v>
      </c>
      <c r="M19" t="s">
        <v>13</v>
      </c>
    </row>
    <row r="20" spans="3:14">
      <c r="C20" s="17" t="s">
        <v>14</v>
      </c>
      <c r="D20" s="18">
        <f t="shared" ref="D20:F20" si="2">SUM(D18:D19)</f>
        <v>-1416</v>
      </c>
      <c r="E20" s="18">
        <f t="shared" si="2"/>
        <v>5613</v>
      </c>
      <c r="F20" s="18">
        <f t="shared" si="2"/>
        <v>14873</v>
      </c>
      <c r="G20" s="18">
        <f ca="1">G18*G40</f>
        <v>28142.283458822396</v>
      </c>
      <c r="H20" s="18">
        <f t="shared" ref="H20:K20" ca="1" si="3">H18*H40</f>
        <v>30802.411477965776</v>
      </c>
      <c r="I20" s="18">
        <f t="shared" ca="1" si="3"/>
        <v>29522.416099100523</v>
      </c>
      <c r="J20" s="18">
        <f t="shared" ca="1" si="3"/>
        <v>26524.056677835102</v>
      </c>
      <c r="K20" s="18">
        <f t="shared" ca="1" si="3"/>
        <v>23032.258865030566</v>
      </c>
      <c r="M20" s="55" t="s">
        <v>15</v>
      </c>
    </row>
    <row r="21" spans="3:14">
      <c r="C21" t="s">
        <v>16</v>
      </c>
      <c r="D21" s="4">
        <v>-3114</v>
      </c>
      <c r="E21" s="4">
        <v>-3430</v>
      </c>
      <c r="F21" s="4">
        <v>-3798</v>
      </c>
      <c r="G21" s="16">
        <f ca="1">-G18*G41</f>
        <v>-4797.5996597759986</v>
      </c>
      <c r="H21" s="16">
        <f ca="1">-H18*H41</f>
        <v>-6238.8049552039411</v>
      </c>
      <c r="I21" s="16">
        <f t="shared" ref="H21:K21" ca="1" si="4">-I18*I41</f>
        <v>-6855.2808710682684</v>
      </c>
      <c r="J21" s="16">
        <f t="shared" ca="1" si="4"/>
        <v>-7258.2189600262627</v>
      </c>
      <c r="K21" s="16">
        <f t="shared" ca="1" si="4"/>
        <v>-7671.8603026169876</v>
      </c>
      <c r="M21" s="55" t="s">
        <v>17</v>
      </c>
    </row>
    <row r="22" spans="3:14">
      <c r="C22" t="s">
        <v>18</v>
      </c>
      <c r="D22" s="4">
        <v>-920</v>
      </c>
      <c r="E22" s="4">
        <v>-1129</v>
      </c>
      <c r="F22" s="4">
        <v>-1205</v>
      </c>
      <c r="G22" s="16">
        <f ca="1">-(G18*G42)</f>
        <v>-1362.9544487999999</v>
      </c>
      <c r="H22" s="16">
        <f t="shared" ref="H22:K22" ca="1" si="5">-(H18*H42)</f>
        <v>-1687.9883536807201</v>
      </c>
      <c r="I22" s="16">
        <f t="shared" ca="1" si="5"/>
        <v>-1862.8480627902904</v>
      </c>
      <c r="J22" s="16">
        <f t="shared" ca="1" si="5"/>
        <v>-1972.3421087027889</v>
      </c>
      <c r="K22" s="16">
        <f t="shared" ca="1" si="5"/>
        <v>-2084.7446474502685</v>
      </c>
      <c r="M22" s="55" t="s">
        <v>19</v>
      </c>
    </row>
    <row r="23" spans="3:14">
      <c r="C23" t="s">
        <v>197</v>
      </c>
      <c r="D23" s="4">
        <v>-171</v>
      </c>
      <c r="E23" s="4">
        <v>-1</v>
      </c>
      <c r="F23" s="4">
        <v>-39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M23" s="55"/>
    </row>
    <row r="24" spans="3:14">
      <c r="C24" t="s">
        <v>198</v>
      </c>
      <c r="D24" s="4">
        <v>-124</v>
      </c>
      <c r="E24" s="4">
        <v>251</v>
      </c>
      <c r="F24" s="4">
        <v>-61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M24" s="55"/>
    </row>
    <row r="25" spans="3:14">
      <c r="C25" s="17" t="s">
        <v>20</v>
      </c>
      <c r="D25" s="18">
        <f>SUM(D20:D24)</f>
        <v>-5745</v>
      </c>
      <c r="E25" s="18">
        <f t="shared" ref="E25:F25" si="6">SUM(E20:E24)</f>
        <v>1304</v>
      </c>
      <c r="F25" s="18">
        <f t="shared" si="6"/>
        <v>9770</v>
      </c>
      <c r="G25" s="18">
        <f ca="1">SUM(G20:G22)</f>
        <v>21981.729350246398</v>
      </c>
      <c r="H25" s="18">
        <f t="shared" ref="H25" ca="1" si="7">SUM(H20:H22)</f>
        <v>22875.618169081114</v>
      </c>
      <c r="I25" s="18">
        <f t="shared" ref="I25" ca="1" si="8">SUM(I20:I22)</f>
        <v>20804.287165241964</v>
      </c>
      <c r="J25" s="18">
        <f t="shared" ref="J25" ca="1" si="9">SUM(J20:J22)</f>
        <v>17293.495609106052</v>
      </c>
      <c r="K25" s="18">
        <f t="shared" ref="K25" ca="1" si="10">SUM(K20:K22)</f>
        <v>13275.65391496331</v>
      </c>
      <c r="M25" s="17" t="s">
        <v>21</v>
      </c>
    </row>
    <row r="26" spans="3:14">
      <c r="C26" t="s">
        <v>22</v>
      </c>
      <c r="D26" s="4">
        <v>468</v>
      </c>
      <c r="E26" s="4">
        <v>529</v>
      </c>
      <c r="F26" s="4">
        <v>496</v>
      </c>
      <c r="G26" s="16">
        <f ca="1">G169</f>
        <v>650.30742305040451</v>
      </c>
      <c r="H26" s="16">
        <f ca="1">H169</f>
        <v>823.17484610080896</v>
      </c>
      <c r="I26" s="16">
        <f ca="1">I169</f>
        <v>1334.9207554537313</v>
      </c>
      <c r="J26" s="16">
        <f ca="1">J169</f>
        <v>1884.7792953642697</v>
      </c>
      <c r="K26" s="16">
        <f ca="1">K169</f>
        <v>2385.3440285410156</v>
      </c>
      <c r="M26" t="s">
        <v>23</v>
      </c>
    </row>
    <row r="27" spans="3:14">
      <c r="C27" t="s">
        <v>24</v>
      </c>
      <c r="D27" s="4">
        <v>-388</v>
      </c>
      <c r="E27" s="4">
        <v>-562</v>
      </c>
      <c r="F27" s="4">
        <v>-477</v>
      </c>
      <c r="G27" s="16">
        <f ca="1">-G152</f>
        <v>-430.14249999999993</v>
      </c>
      <c r="H27" s="16">
        <f t="shared" ref="H27:K27" ca="1" si="11">-H152</f>
        <v>-417.39249999999993</v>
      </c>
      <c r="I27" s="16">
        <f t="shared" ca="1" si="11"/>
        <v>-417.39249999999993</v>
      </c>
      <c r="J27" s="16">
        <f t="shared" ca="1" si="11"/>
        <v>-417.39249999999993</v>
      </c>
      <c r="K27" s="16">
        <f t="shared" ca="1" si="11"/>
        <v>-417.39249999999993</v>
      </c>
      <c r="M27" t="s">
        <v>25</v>
      </c>
    </row>
    <row r="28" spans="3:14">
      <c r="C28" t="s">
        <v>26</v>
      </c>
      <c r="D28" s="4">
        <v>7</v>
      </c>
      <c r="E28" s="4">
        <v>-31</v>
      </c>
      <c r="F28" s="4">
        <v>-135</v>
      </c>
      <c r="G28" s="16">
        <f>F28</f>
        <v>-135</v>
      </c>
      <c r="H28" s="16">
        <f t="shared" ref="H28:K28" si="12">G28</f>
        <v>-135</v>
      </c>
      <c r="I28" s="16">
        <f t="shared" si="12"/>
        <v>-135</v>
      </c>
      <c r="J28" s="16">
        <f t="shared" si="12"/>
        <v>-135</v>
      </c>
      <c r="K28" s="16">
        <f t="shared" si="12"/>
        <v>-135</v>
      </c>
      <c r="M28" t="s">
        <v>27</v>
      </c>
    </row>
    <row r="29" spans="3:14">
      <c r="C29" s="17" t="s">
        <v>28</v>
      </c>
      <c r="D29" s="18">
        <f t="shared" ref="D29:K29" si="13">SUM(D25:D28)</f>
        <v>-5658</v>
      </c>
      <c r="E29" s="18">
        <f t="shared" si="13"/>
        <v>1240</v>
      </c>
      <c r="F29" s="18">
        <f t="shared" si="13"/>
        <v>9654</v>
      </c>
      <c r="G29" s="18">
        <f ca="1">SUM(G25:G28)</f>
        <v>22066.894273296806</v>
      </c>
      <c r="H29" s="18">
        <f t="shared" ca="1" si="13"/>
        <v>23146.400515181922</v>
      </c>
      <c r="I29" s="18">
        <f t="shared" ca="1" si="13"/>
        <v>21586.815420695697</v>
      </c>
      <c r="J29" s="18">
        <f t="shared" ca="1" si="13"/>
        <v>18625.882404470321</v>
      </c>
      <c r="K29" s="18">
        <f t="shared" ca="1" si="13"/>
        <v>15108.605443504326</v>
      </c>
      <c r="M29" s="17" t="s">
        <v>29</v>
      </c>
      <c r="N29" s="17"/>
    </row>
    <row r="30" spans="3:14">
      <c r="C30" t="s">
        <v>30</v>
      </c>
      <c r="D30" s="4">
        <v>-177</v>
      </c>
      <c r="E30" s="4">
        <v>-451</v>
      </c>
      <c r="F30" s="4">
        <v>-1124</v>
      </c>
      <c r="G30" s="16">
        <f ca="1">-G29*G43</f>
        <v>-3641.037555093973</v>
      </c>
      <c r="H30" s="16">
        <f t="shared" ref="H30:K30" ca="1" si="14">-H29*H43</f>
        <v>-3819.1560850050173</v>
      </c>
      <c r="I30" s="16">
        <f t="shared" ca="1" si="14"/>
        <v>-3561.8245444147901</v>
      </c>
      <c r="J30" s="16">
        <f t="shared" ca="1" si="14"/>
        <v>-3073.2705967376032</v>
      </c>
      <c r="K30" s="16">
        <f t="shared" ca="1" si="14"/>
        <v>-2492.9198981782138</v>
      </c>
      <c r="M30" t="s">
        <v>31</v>
      </c>
    </row>
    <row r="31" spans="3:14">
      <c r="C31" s="17" t="s">
        <v>32</v>
      </c>
      <c r="D31" s="18">
        <f t="shared" ref="D31:K31" si="15">SUM(D29:D30)</f>
        <v>-5835</v>
      </c>
      <c r="E31" s="18">
        <f t="shared" si="15"/>
        <v>789</v>
      </c>
      <c r="F31" s="18">
        <f t="shared" si="15"/>
        <v>8530</v>
      </c>
      <c r="G31" s="18">
        <f t="shared" ca="1" si="15"/>
        <v>18425.856718202835</v>
      </c>
      <c r="H31" s="18">
        <f t="shared" ca="1" si="15"/>
        <v>19327.244430176906</v>
      </c>
      <c r="I31" s="18">
        <f t="shared" ca="1" si="15"/>
        <v>18024.990876280906</v>
      </c>
      <c r="J31" s="18">
        <f t="shared" ca="1" si="15"/>
        <v>15552.611807732719</v>
      </c>
      <c r="K31" s="18">
        <f t="shared" ca="1" si="15"/>
        <v>12615.685545326112</v>
      </c>
      <c r="M31" s="17" t="s">
        <v>33</v>
      </c>
    </row>
    <row r="32" spans="3:14">
      <c r="C32" s="21"/>
      <c r="D32" s="19"/>
      <c r="E32" s="19"/>
      <c r="F32" s="19"/>
    </row>
    <row r="33" spans="2:18">
      <c r="C33" s="29" t="s">
        <v>34</v>
      </c>
      <c r="D33" s="4">
        <v>7756</v>
      </c>
      <c r="E33" s="4">
        <v>7780</v>
      </c>
      <c r="F33" s="4">
        <v>8352</v>
      </c>
      <c r="G33" s="16">
        <f ca="1">G116</f>
        <v>16187.277266928</v>
      </c>
      <c r="H33" s="16">
        <f t="shared" ref="H33:K33" ca="1" si="16">H116</f>
        <v>15738.47185945244</v>
      </c>
      <c r="I33" s="16">
        <f t="shared" ca="1" si="16"/>
        <v>16343.677403139513</v>
      </c>
      <c r="J33" s="16">
        <f t="shared" ca="1" si="16"/>
        <v>17372.287894891622</v>
      </c>
      <c r="K33" s="16">
        <f t="shared" ca="1" si="16"/>
        <v>18170.909785898006</v>
      </c>
      <c r="M33" t="s">
        <v>35</v>
      </c>
    </row>
    <row r="34" spans="2:18">
      <c r="C34" s="28" t="s">
        <v>36</v>
      </c>
      <c r="D34" s="18">
        <f t="shared" ref="D34:K34" si="17">D33+D25</f>
        <v>2011</v>
      </c>
      <c r="E34" s="18">
        <f t="shared" si="17"/>
        <v>9084</v>
      </c>
      <c r="F34" s="18">
        <f t="shared" si="17"/>
        <v>18122</v>
      </c>
      <c r="G34" s="18">
        <f t="shared" ca="1" si="17"/>
        <v>38169.006617174397</v>
      </c>
      <c r="H34" s="18">
        <f t="shared" ca="1" si="17"/>
        <v>38614.090028533552</v>
      </c>
      <c r="I34" s="18">
        <f t="shared" ca="1" si="17"/>
        <v>37147.964568381474</v>
      </c>
      <c r="J34" s="18">
        <f t="shared" ca="1" si="17"/>
        <v>34665.783503997678</v>
      </c>
      <c r="K34" s="18">
        <f t="shared" ca="1" si="17"/>
        <v>31446.563700861316</v>
      </c>
      <c r="M34" s="17"/>
    </row>
    <row r="35" spans="2:18">
      <c r="C35" s="29" t="s">
        <v>37</v>
      </c>
      <c r="D35" s="4">
        <v>596</v>
      </c>
      <c r="E35" s="4">
        <v>833</v>
      </c>
      <c r="F35" s="4">
        <v>972</v>
      </c>
      <c r="G35" s="16">
        <f ca="1">F35*(1+G39)</f>
        <v>1417.7234996346513</v>
      </c>
      <c r="H35" s="16">
        <f t="shared" ref="H35:K35" ca="1" si="18">G35*(1+H39)</f>
        <v>1755.8185882365667</v>
      </c>
      <c r="I35" s="16">
        <f t="shared" ca="1" si="18"/>
        <v>1937.7048713490954</v>
      </c>
      <c r="J35" s="16">
        <f t="shared" ca="1" si="18"/>
        <v>2051.598833173643</v>
      </c>
      <c r="K35" s="16">
        <f t="shared" ca="1" si="18"/>
        <v>2168.5181628997393</v>
      </c>
      <c r="M35" t="s">
        <v>173</v>
      </c>
    </row>
    <row r="36" spans="2:18">
      <c r="C36" s="28" t="s">
        <v>38</v>
      </c>
      <c r="D36" s="18">
        <f t="shared" ref="D36:K36" si="19">SUM(D34:D35)</f>
        <v>2607</v>
      </c>
      <c r="E36" s="18">
        <f t="shared" si="19"/>
        <v>9917</v>
      </c>
      <c r="F36" s="18">
        <f t="shared" si="19"/>
        <v>19094</v>
      </c>
      <c r="G36" s="18">
        <f t="shared" ca="1" si="19"/>
        <v>39586.730116809049</v>
      </c>
      <c r="H36" s="18">
        <f t="shared" ca="1" si="19"/>
        <v>40369.908616770117</v>
      </c>
      <c r="I36" s="18">
        <f t="shared" ca="1" si="19"/>
        <v>39085.669439730569</v>
      </c>
      <c r="J36" s="18">
        <f t="shared" ca="1" si="19"/>
        <v>36717.382337171322</v>
      </c>
      <c r="K36" s="18">
        <f t="shared" ca="1" si="19"/>
        <v>33615.081863761057</v>
      </c>
      <c r="M36" s="17" t="s">
        <v>39</v>
      </c>
    </row>
    <row r="37" spans="2:18">
      <c r="C37" s="21"/>
    </row>
    <row r="38" spans="2:18">
      <c r="C38" s="20" t="s">
        <v>40</v>
      </c>
    </row>
    <row r="39" spans="2:18">
      <c r="C39" s="21" t="s">
        <v>41</v>
      </c>
      <c r="D39" s="22"/>
      <c r="E39" s="22">
        <f>E18/D18-1</f>
        <v>0.61589446589446584</v>
      </c>
      <c r="F39" s="22">
        <f>F18/E18-1</f>
        <v>0.48851101111066852</v>
      </c>
      <c r="G39" s="143">
        <f ca="1">G219</f>
        <v>0.45856327122906504</v>
      </c>
      <c r="H39" s="143">
        <f t="shared" ref="H39:K39" ca="1" si="20">H219</f>
        <v>0.23847745254208097</v>
      </c>
      <c r="I39" s="143">
        <f t="shared" ca="1" si="20"/>
        <v>0.10359058978593216</v>
      </c>
      <c r="J39" s="143">
        <f t="shared" ca="1" si="20"/>
        <v>5.8777765132649318E-2</v>
      </c>
      <c r="K39" s="143">
        <f t="shared" ca="1" si="20"/>
        <v>5.6989372305906505E-2</v>
      </c>
      <c r="M39" t="s">
        <v>224</v>
      </c>
      <c r="O39" s="23"/>
      <c r="P39" s="23"/>
      <c r="Q39" s="23"/>
      <c r="R39" s="23"/>
    </row>
    <row r="40" spans="2:18">
      <c r="C40" s="21" t="s">
        <v>42</v>
      </c>
      <c r="D40" s="22">
        <f>D20/D18</f>
        <v>-9.1119691119691121E-2</v>
      </c>
      <c r="E40" s="22">
        <f t="shared" ref="E40" si="21">E20/E18</f>
        <v>0.22352753773246783</v>
      </c>
      <c r="F40" s="22">
        <f>F20/F18</f>
        <v>0.39790786023864305</v>
      </c>
      <c r="G40" s="143">
        <f ca="1">G220</f>
        <v>0.51619999999999999</v>
      </c>
      <c r="H40" s="143">
        <f t="shared" ref="H40:K40" ca="1" si="22">H220</f>
        <v>0.45619999999999999</v>
      </c>
      <c r="I40" s="143">
        <f t="shared" ca="1" si="22"/>
        <v>0.3962</v>
      </c>
      <c r="J40" s="143">
        <f t="shared" ca="1" si="22"/>
        <v>0.3362</v>
      </c>
      <c r="K40" s="143">
        <f t="shared" ca="1" si="22"/>
        <v>0.2762</v>
      </c>
      <c r="M40" t="s">
        <v>224</v>
      </c>
      <c r="O40" s="23"/>
      <c r="P40" s="23"/>
      <c r="Q40" s="23"/>
      <c r="R40" s="23"/>
    </row>
    <row r="41" spans="2:18">
      <c r="C41" s="21" t="s">
        <v>43</v>
      </c>
      <c r="D41" s="22">
        <f>-(D21/D18)</f>
        <v>0.20038610038610039</v>
      </c>
      <c r="E41" s="22">
        <f t="shared" ref="E41:F41" si="23">-(E21/E18)</f>
        <v>0.13659352475010952</v>
      </c>
      <c r="F41" s="22">
        <f t="shared" si="23"/>
        <v>0.10161057306436941</v>
      </c>
      <c r="G41" s="143">
        <f ca="1">G221</f>
        <v>8.7999999999999995E-2</v>
      </c>
      <c r="H41" s="143">
        <f t="shared" ref="H41:K41" ca="1" si="24">H221</f>
        <v>9.2399999999999996E-2</v>
      </c>
      <c r="I41" s="143">
        <f t="shared" ca="1" si="24"/>
        <v>9.1999999999999998E-2</v>
      </c>
      <c r="J41" s="143">
        <f t="shared" ca="1" si="24"/>
        <v>9.1999999999999998E-2</v>
      </c>
      <c r="K41" s="143">
        <f t="shared" ca="1" si="24"/>
        <v>9.1999999999999998E-2</v>
      </c>
      <c r="M41" t="s">
        <v>224</v>
      </c>
      <c r="O41" s="23"/>
      <c r="P41" s="23"/>
      <c r="Q41" s="23"/>
      <c r="R41" s="23"/>
    </row>
    <row r="42" spans="2:18">
      <c r="C42" s="21" t="s">
        <v>44</v>
      </c>
      <c r="D42" s="22">
        <f>-(D22/D18)</f>
        <v>5.9202059202059204E-2</v>
      </c>
      <c r="E42" s="22">
        <f t="shared" ref="E42:F42" si="25">-(E22/E18)</f>
        <v>4.496037593086695E-2</v>
      </c>
      <c r="F42" s="22">
        <f t="shared" si="25"/>
        <v>3.2238214992776501E-2</v>
      </c>
      <c r="G42" s="143">
        <f ca="1">G222</f>
        <v>2.5000000000000001E-2</v>
      </c>
      <c r="H42" s="143">
        <f t="shared" ref="H42:K42" ca="1" si="26">H222</f>
        <v>2.5000000000000001E-2</v>
      </c>
      <c r="I42" s="143">
        <f t="shared" ca="1" si="26"/>
        <v>2.5000000000000001E-2</v>
      </c>
      <c r="J42" s="143">
        <f t="shared" ca="1" si="26"/>
        <v>2.5000000000000001E-2</v>
      </c>
      <c r="K42" s="143">
        <f t="shared" ca="1" si="26"/>
        <v>2.5000000000000001E-2</v>
      </c>
      <c r="M42" t="s">
        <v>224</v>
      </c>
      <c r="O42" s="23"/>
      <c r="P42" s="23"/>
      <c r="Q42" s="23"/>
      <c r="R42" s="23"/>
    </row>
    <row r="43" spans="2:18">
      <c r="C43" s="21" t="s">
        <v>45</v>
      </c>
      <c r="D43" s="22">
        <f>D30/D29</f>
        <v>3.1283138918345707E-2</v>
      </c>
      <c r="E43" s="22">
        <f>-E30/E29</f>
        <v>0.36370967741935484</v>
      </c>
      <c r="F43" s="22">
        <f>-F30/F29</f>
        <v>0.1164284234514191</v>
      </c>
      <c r="G43" s="143">
        <v>0.16500000000000001</v>
      </c>
      <c r="H43" s="143">
        <v>0.16500000000000001</v>
      </c>
      <c r="I43" s="143">
        <v>0.16500000000000001</v>
      </c>
      <c r="J43" s="143">
        <v>0.16500000000000001</v>
      </c>
      <c r="K43" s="143">
        <v>0.16500000000000001</v>
      </c>
      <c r="M43" t="s">
        <v>230</v>
      </c>
      <c r="O43" s="23"/>
      <c r="P43" s="23"/>
      <c r="Q43" s="23"/>
      <c r="R43" s="23"/>
    </row>
    <row r="44" spans="2:18">
      <c r="C44" s="21"/>
      <c r="G44" s="39"/>
    </row>
    <row r="45" spans="2:18">
      <c r="B45" t="s">
        <v>172</v>
      </c>
      <c r="C45" s="6" t="s">
        <v>46</v>
      </c>
      <c r="D45" s="12"/>
      <c r="E45" s="12"/>
      <c r="F45" s="12"/>
      <c r="G45" s="8"/>
      <c r="H45" s="8"/>
      <c r="I45" s="8"/>
      <c r="J45" s="8"/>
      <c r="K45" s="8"/>
    </row>
    <row r="46" spans="2:18">
      <c r="C46" s="27" t="s">
        <v>9</v>
      </c>
      <c r="D46" s="24"/>
      <c r="E46" s="24">
        <f>F46-1</f>
        <v>2024</v>
      </c>
      <c r="F46" s="24">
        <v>2025</v>
      </c>
      <c r="G46" s="25">
        <v>2026</v>
      </c>
      <c r="H46" s="25">
        <f>G46+1</f>
        <v>2027</v>
      </c>
      <c r="I46" s="25">
        <f>H46+1</f>
        <v>2028</v>
      </c>
      <c r="J46" s="25">
        <f>I46+1</f>
        <v>2029</v>
      </c>
      <c r="K46" s="25">
        <f>J46+1</f>
        <v>2030</v>
      </c>
    </row>
    <row r="47" spans="2:18">
      <c r="C47" s="8" t="s">
        <v>10</v>
      </c>
      <c r="D47" s="26"/>
      <c r="E47" s="26">
        <f>DATE(2025,8,28)-364</f>
        <v>45533</v>
      </c>
      <c r="F47" s="26">
        <f>D10</f>
        <v>45897</v>
      </c>
      <c r="G47" s="26">
        <f>DATE(2025,8,28)+364</f>
        <v>46261</v>
      </c>
      <c r="H47" s="26">
        <f>DATE(2026,8,27)+364</f>
        <v>46625</v>
      </c>
      <c r="I47" s="26">
        <f>DATE(2027,8,26)+371</f>
        <v>46996</v>
      </c>
      <c r="J47" s="26">
        <f>DATE(2028,8,31)+364</f>
        <v>47360</v>
      </c>
      <c r="K47" s="26">
        <f>DATE(2029,8,30)+364</f>
        <v>47724</v>
      </c>
    </row>
    <row r="48" spans="2:18">
      <c r="C48" t="s">
        <v>47</v>
      </c>
      <c r="D48" s="4"/>
      <c r="E48" s="4">
        <f>7041+1065+1046</f>
        <v>9152</v>
      </c>
      <c r="F48" s="4">
        <f>9642+665+1629</f>
        <v>11936</v>
      </c>
      <c r="G48" s="16">
        <f ca="1">F48+G100</f>
        <v>20579.371152526161</v>
      </c>
      <c r="H48" s="16">
        <f ca="1">G48+H100</f>
        <v>33373.018886361097</v>
      </c>
      <c r="I48" s="16">
        <f ca="1">H48+I100</f>
        <v>47119.482384160161</v>
      </c>
      <c r="J48" s="16">
        <f ca="1">I48+J100</f>
        <v>59633.600713685642</v>
      </c>
      <c r="K48" s="16">
        <f ca="1">J48+K100</f>
        <v>69863.782821125889</v>
      </c>
      <c r="M48" t="s">
        <v>48</v>
      </c>
    </row>
    <row r="49" spans="3:13">
      <c r="C49" t="s">
        <v>49</v>
      </c>
      <c r="D49" s="4"/>
      <c r="E49" s="4">
        <v>6615</v>
      </c>
      <c r="F49" s="4">
        <v>9265</v>
      </c>
      <c r="G49" s="16">
        <f ca="1">F49*(1+G39)</f>
        <v>13513.588707937288</v>
      </c>
      <c r="H49" s="16">
        <f t="shared" ref="H49:K49" ca="1" si="27">G49*(1+H39)</f>
        <v>16736.274917707604</v>
      </c>
      <c r="I49" s="16">
        <f t="shared" ca="1" si="27"/>
        <v>18469.995507252439</v>
      </c>
      <c r="J49" s="16">
        <f t="shared" ca="1" si="27"/>
        <v>19555.620565178811</v>
      </c>
      <c r="K49" s="16">
        <f t="shared" ca="1" si="27"/>
        <v>20670.083106240829</v>
      </c>
      <c r="M49" t="s">
        <v>50</v>
      </c>
    </row>
    <row r="50" spans="3:13">
      <c r="C50" t="s">
        <v>51</v>
      </c>
      <c r="D50" s="4"/>
      <c r="E50" s="4">
        <v>8875</v>
      </c>
      <c r="F50" s="4">
        <v>8355</v>
      </c>
      <c r="G50" s="16">
        <f ca="1">(F50)*(G19/F19)</f>
        <v>9792.0728056209209</v>
      </c>
      <c r="H50" s="16">
        <f t="shared" ref="H50:K50" ca="1" si="28">(G50)*(H19/G19)</f>
        <v>13631.262381768165</v>
      </c>
      <c r="I50" s="16">
        <f t="shared" ca="1" si="28"/>
        <v>16703.134240236846</v>
      </c>
      <c r="J50" s="16">
        <f t="shared" ca="1" si="28"/>
        <v>19442.267904250599</v>
      </c>
      <c r="K50" s="16">
        <f t="shared" ca="1" si="28"/>
        <v>22407.782197758246</v>
      </c>
      <c r="M50" t="s">
        <v>52</v>
      </c>
    </row>
    <row r="51" spans="3:13">
      <c r="C51" t="s">
        <v>53</v>
      </c>
      <c r="D51" s="4"/>
      <c r="E51" s="4">
        <v>776</v>
      </c>
      <c r="F51" s="4">
        <v>914</v>
      </c>
      <c r="G51" s="16">
        <f ca="1">F51*(1+G39)</f>
        <v>1333.1268299033654</v>
      </c>
      <c r="H51" s="16">
        <f t="shared" ref="H51:K51" ca="1" si="29">G51*(1+H39)</f>
        <v>1651.0475202142202</v>
      </c>
      <c r="I51" s="16">
        <f t="shared" ca="1" si="29"/>
        <v>1822.080506597812</v>
      </c>
      <c r="J51" s="16">
        <f t="shared" ca="1" si="29"/>
        <v>1929.178326667397</v>
      </c>
      <c r="K51" s="16">
        <f t="shared" ca="1" si="29"/>
        <v>2039.1209885703311</v>
      </c>
      <c r="M51" t="s">
        <v>50</v>
      </c>
    </row>
    <row r="52" spans="3:13">
      <c r="C52" t="s">
        <v>54</v>
      </c>
      <c r="D52" s="4"/>
      <c r="E52" s="4">
        <v>39749</v>
      </c>
      <c r="F52" s="4">
        <v>46590</v>
      </c>
      <c r="G52" s="16">
        <f>G109</f>
        <v>51958.5</v>
      </c>
      <c r="H52" s="16">
        <f t="shared" ref="H52:K52" si="30">H109</f>
        <v>56435.8675</v>
      </c>
      <c r="I52" s="16">
        <f t="shared" si="30"/>
        <v>60372.332499999997</v>
      </c>
      <c r="J52" s="16">
        <f t="shared" si="30"/>
        <v>63849.799999999988</v>
      </c>
      <c r="K52" s="16">
        <f t="shared" si="30"/>
        <v>66794.28</v>
      </c>
      <c r="M52" t="s">
        <v>55</v>
      </c>
    </row>
    <row r="53" spans="3:13">
      <c r="C53" t="s">
        <v>179</v>
      </c>
      <c r="D53" s="4"/>
      <c r="E53" s="4">
        <v>645</v>
      </c>
      <c r="F53" s="4">
        <v>736</v>
      </c>
      <c r="G53" s="16">
        <f>$F$53</f>
        <v>736</v>
      </c>
      <c r="H53" s="16">
        <f t="shared" ref="H53:K53" si="31">G53</f>
        <v>736</v>
      </c>
      <c r="I53" s="16">
        <f t="shared" si="31"/>
        <v>736</v>
      </c>
      <c r="J53" s="16">
        <f t="shared" si="31"/>
        <v>736</v>
      </c>
      <c r="K53" s="16">
        <f t="shared" si="31"/>
        <v>736</v>
      </c>
      <c r="M53" t="s">
        <v>191</v>
      </c>
    </row>
    <row r="54" spans="3:13">
      <c r="C54" t="s">
        <v>180</v>
      </c>
      <c r="D54" s="4"/>
      <c r="E54" s="4">
        <v>416</v>
      </c>
      <c r="F54" s="4">
        <v>453</v>
      </c>
      <c r="G54" s="16">
        <v>453</v>
      </c>
      <c r="H54" s="16">
        <v>453</v>
      </c>
      <c r="I54" s="16">
        <v>453</v>
      </c>
      <c r="J54" s="16">
        <v>453</v>
      </c>
      <c r="K54" s="16">
        <v>453</v>
      </c>
      <c r="M54" t="s">
        <v>191</v>
      </c>
    </row>
    <row r="55" spans="3:13">
      <c r="C55" t="s">
        <v>181</v>
      </c>
      <c r="D55" s="4"/>
      <c r="E55" s="4">
        <v>520</v>
      </c>
      <c r="F55" s="4">
        <v>616</v>
      </c>
      <c r="G55" s="16">
        <v>616</v>
      </c>
      <c r="H55" s="16">
        <v>616</v>
      </c>
      <c r="I55" s="16">
        <v>616</v>
      </c>
      <c r="J55" s="16">
        <v>616</v>
      </c>
      <c r="K55" s="16">
        <v>616</v>
      </c>
      <c r="M55" t="s">
        <v>191</v>
      </c>
    </row>
    <row r="56" spans="3:13">
      <c r="C56" t="s">
        <v>182</v>
      </c>
      <c r="D56" s="4"/>
      <c r="E56" s="4">
        <v>1150</v>
      </c>
      <c r="F56" s="4">
        <v>1150</v>
      </c>
      <c r="G56" s="16">
        <v>1150</v>
      </c>
      <c r="H56" s="16">
        <v>1150</v>
      </c>
      <c r="I56" s="16">
        <v>1150</v>
      </c>
      <c r="J56" s="16">
        <v>1150</v>
      </c>
      <c r="K56" s="16">
        <v>1150</v>
      </c>
      <c r="M56" t="s">
        <v>191</v>
      </c>
    </row>
    <row r="57" spans="3:13">
      <c r="C57" t="s">
        <v>56</v>
      </c>
      <c r="D57" s="4"/>
      <c r="E57" s="4">
        <v>1518</v>
      </c>
      <c r="F57" s="4">
        <v>2783</v>
      </c>
      <c r="G57" s="16">
        <f ca="1">F57*(1+G39)</f>
        <v>4059.1815838304879</v>
      </c>
      <c r="H57" s="16">
        <f t="shared" ref="H57:K57" ca="1" si="32">G57*(1+H39)</f>
        <v>5027.2048673481122</v>
      </c>
      <c r="I57" s="16">
        <f t="shared" ca="1" si="32"/>
        <v>5547.975984531412</v>
      </c>
      <c r="J57" s="16">
        <f t="shared" ca="1" si="32"/>
        <v>5874.073613911778</v>
      </c>
      <c r="K57" s="16">
        <f t="shared" ca="1" si="32"/>
        <v>6208.8333820472981</v>
      </c>
      <c r="M57" t="s">
        <v>50</v>
      </c>
    </row>
    <row r="58" spans="3:13">
      <c r="C58" s="28" t="s">
        <v>57</v>
      </c>
      <c r="D58" s="18"/>
      <c r="E58" s="18">
        <f>SUM(E48:E57)</f>
        <v>69416</v>
      </c>
      <c r="F58" s="18">
        <f>SUM(F48:F57)</f>
        <v>82798</v>
      </c>
      <c r="G58" s="18">
        <f ca="1">SUM(G48:G57)</f>
        <v>104190.84107981823</v>
      </c>
      <c r="H58" s="18">
        <f t="shared" ref="H58:K58" ca="1" si="33">SUM(H48:H57)</f>
        <v>129809.67607339921</v>
      </c>
      <c r="I58" s="18">
        <f t="shared" ca="1" si="33"/>
        <v>152990.00112277866</v>
      </c>
      <c r="J58" s="18">
        <f t="shared" ca="1" si="33"/>
        <v>173239.54112369422</v>
      </c>
      <c r="K58" s="18">
        <f t="shared" ca="1" si="33"/>
        <v>190938.88249574258</v>
      </c>
    </row>
    <row r="59" spans="3:13">
      <c r="C59" s="29"/>
      <c r="D59" s="19"/>
      <c r="E59" s="19"/>
      <c r="F59" s="19"/>
    </row>
    <row r="60" spans="3:13">
      <c r="C60" s="29" t="s">
        <v>58</v>
      </c>
      <c r="D60" s="4"/>
      <c r="E60" s="4">
        <v>7299</v>
      </c>
      <c r="F60" s="4">
        <v>9649</v>
      </c>
      <c r="G60" s="16">
        <f ca="1">F60*(G19/F19)</f>
        <v>11308.642788921155</v>
      </c>
      <c r="H60" s="16">
        <f t="shared" ref="H60:K60" ca="1" si="34">G60*(H19/G19)</f>
        <v>15742.435753642252</v>
      </c>
      <c r="I60" s="16">
        <f t="shared" ca="1" si="34"/>
        <v>19290.070889772029</v>
      </c>
      <c r="J60" s="16">
        <f t="shared" ca="1" si="34"/>
        <v>22453.434231970557</v>
      </c>
      <c r="K60" s="16">
        <f t="shared" ca="1" si="34"/>
        <v>25878.23942862589</v>
      </c>
      <c r="M60" t="s">
        <v>52</v>
      </c>
    </row>
    <row r="61" spans="3:13">
      <c r="C61" s="29" t="s">
        <v>59</v>
      </c>
      <c r="D61" s="4"/>
      <c r="E61" s="4">
        <v>1518</v>
      </c>
      <c r="F61" s="4">
        <v>1245</v>
      </c>
      <c r="G61" s="16">
        <f ca="1">F61*(1+G39)</f>
        <v>1815.9112726801859</v>
      </c>
      <c r="H61" s="16">
        <f ca="1">G61*(1+H39)</f>
        <v>2248.9651670314047</v>
      </c>
      <c r="I61" s="16">
        <f ca="1">H61*(1+I39)</f>
        <v>2481.9367950922056</v>
      </c>
      <c r="J61" s="16">
        <f ca="1">I61*(1+J39)</f>
        <v>2627.8194931082157</v>
      </c>
      <c r="K61" s="16">
        <f ca="1">J61*(1+K39)</f>
        <v>2777.5772765536785</v>
      </c>
      <c r="M61" t="s">
        <v>50</v>
      </c>
    </row>
    <row r="62" spans="3:13">
      <c r="C62" s="29" t="s">
        <v>60</v>
      </c>
      <c r="D62" s="4"/>
      <c r="E62" s="4">
        <v>431</v>
      </c>
      <c r="F62" s="4">
        <v>560</v>
      </c>
      <c r="G62" s="16">
        <f ca="1">G145</f>
        <v>50</v>
      </c>
      <c r="H62" s="16">
        <f t="shared" ref="H62:K62" ca="1" si="35">H145</f>
        <v>50</v>
      </c>
      <c r="I62" s="16">
        <f t="shared" ca="1" si="35"/>
        <v>50</v>
      </c>
      <c r="J62" s="16">
        <f t="shared" ca="1" si="35"/>
        <v>50</v>
      </c>
      <c r="K62" s="16">
        <f t="shared" ca="1" si="35"/>
        <v>50</v>
      </c>
      <c r="M62" t="s">
        <v>61</v>
      </c>
    </row>
    <row r="63" spans="3:13">
      <c r="C63" s="29" t="s">
        <v>62</v>
      </c>
      <c r="D63" s="4"/>
      <c r="E63" s="4">
        <v>12966</v>
      </c>
      <c r="F63" s="4">
        <v>14017</v>
      </c>
      <c r="G63" s="16">
        <v>14017</v>
      </c>
      <c r="H63" s="16">
        <v>14017</v>
      </c>
      <c r="I63" s="16">
        <v>14017</v>
      </c>
      <c r="J63" s="16">
        <v>14017</v>
      </c>
      <c r="K63" s="16">
        <v>14017</v>
      </c>
      <c r="M63" t="s">
        <v>210</v>
      </c>
    </row>
    <row r="64" spans="3:13">
      <c r="C64" s="29" t="s">
        <v>184</v>
      </c>
      <c r="D64" s="4"/>
      <c r="E64" s="4">
        <v>610</v>
      </c>
      <c r="F64" s="4">
        <v>701</v>
      </c>
      <c r="G64" s="16">
        <v>701</v>
      </c>
      <c r="H64" s="16">
        <v>701</v>
      </c>
      <c r="I64" s="16">
        <v>701</v>
      </c>
      <c r="J64" s="16">
        <v>701</v>
      </c>
      <c r="K64" s="16">
        <v>701</v>
      </c>
      <c r="M64" t="s">
        <v>191</v>
      </c>
    </row>
    <row r="65" spans="2:13">
      <c r="C65" s="29" t="s">
        <v>183</v>
      </c>
      <c r="D65" s="4"/>
      <c r="E65" s="4">
        <v>550</v>
      </c>
      <c r="F65" s="4">
        <v>1018</v>
      </c>
      <c r="G65" s="16">
        <v>1018</v>
      </c>
      <c r="H65" s="16">
        <v>1018</v>
      </c>
      <c r="I65" s="16">
        <v>1018</v>
      </c>
      <c r="J65" s="16">
        <v>1018</v>
      </c>
      <c r="K65" s="16">
        <v>1018</v>
      </c>
      <c r="M65" t="s">
        <v>191</v>
      </c>
    </row>
    <row r="66" spans="2:13">
      <c r="C66" s="29" t="s">
        <v>63</v>
      </c>
      <c r="D66" s="4"/>
      <c r="E66" s="4">
        <v>911</v>
      </c>
      <c r="F66" s="4">
        <v>1443</v>
      </c>
      <c r="G66" s="16">
        <f ca="1">F66*(1+G39)</f>
        <v>2104.7068003835407</v>
      </c>
      <c r="H66" s="16">
        <f ca="1">G66*(1+H39)</f>
        <v>2606.6319164870015</v>
      </c>
      <c r="I66" s="16">
        <f ca="1">H66*(1+I39)</f>
        <v>2876.6544540707246</v>
      </c>
      <c r="J66" s="16">
        <f ca="1">I66*(1+J39)</f>
        <v>3045.737773939883</v>
      </c>
      <c r="K66" s="16">
        <f ca="1">J66*(1+K39)</f>
        <v>3219.3124578851061</v>
      </c>
      <c r="M66" t="s">
        <v>50</v>
      </c>
    </row>
    <row r="67" spans="2:13">
      <c r="C67" s="28" t="s">
        <v>64</v>
      </c>
      <c r="D67" s="18"/>
      <c r="E67" s="18">
        <f t="shared" ref="E67:K67" si="36">SUM(E60:E66)</f>
        <v>24285</v>
      </c>
      <c r="F67" s="18">
        <f t="shared" si="36"/>
        <v>28633</v>
      </c>
      <c r="G67" s="18">
        <f t="shared" ca="1" si="36"/>
        <v>31015.260861984883</v>
      </c>
      <c r="H67" s="18">
        <f t="shared" ca="1" si="36"/>
        <v>36384.032837160652</v>
      </c>
      <c r="I67" s="18">
        <f t="shared" ca="1" si="36"/>
        <v>40434.66213893496</v>
      </c>
      <c r="J67" s="18">
        <f t="shared" ca="1" si="36"/>
        <v>43912.991499018652</v>
      </c>
      <c r="K67" s="18">
        <f t="shared" ca="1" si="36"/>
        <v>47661.129163064674</v>
      </c>
    </row>
    <row r="68" spans="2:13">
      <c r="C68" s="28"/>
      <c r="D68" s="18"/>
      <c r="E68" s="18"/>
      <c r="F68" s="18"/>
    </row>
    <row r="69" spans="2:13">
      <c r="C69" s="29" t="s">
        <v>65</v>
      </c>
      <c r="D69" s="4"/>
      <c r="E69" s="4">
        <v>125</v>
      </c>
      <c r="F69" s="4">
        <v>127</v>
      </c>
      <c r="G69" s="16">
        <f ca="1">F69+G35</f>
        <v>1544.7234996346513</v>
      </c>
      <c r="H69" s="16">
        <f ca="1">G69+H35</f>
        <v>3300.542087871218</v>
      </c>
      <c r="I69" s="16">
        <f ca="1">H69+I35</f>
        <v>5238.2469592203133</v>
      </c>
      <c r="J69" s="16">
        <f ca="1">I69+J35</f>
        <v>7289.8457923939568</v>
      </c>
      <c r="K69" s="16">
        <f ca="1">J69+K35</f>
        <v>9458.3639552936966</v>
      </c>
      <c r="M69" t="s">
        <v>66</v>
      </c>
    </row>
    <row r="70" spans="2:13">
      <c r="C70" s="29" t="s">
        <v>195</v>
      </c>
      <c r="D70" s="4"/>
      <c r="E70" s="4">
        <v>12115</v>
      </c>
      <c r="F70" s="4">
        <v>13339</v>
      </c>
      <c r="G70" s="16">
        <v>13339</v>
      </c>
      <c r="H70" s="16">
        <v>13339</v>
      </c>
      <c r="I70" s="16">
        <v>13339</v>
      </c>
      <c r="J70" s="16">
        <v>13339</v>
      </c>
      <c r="K70" s="16">
        <v>13339</v>
      </c>
    </row>
    <row r="71" spans="2:13">
      <c r="C71" s="29" t="s">
        <v>67</v>
      </c>
      <c r="D71" s="16"/>
      <c r="E71" s="4">
        <v>40877</v>
      </c>
      <c r="F71" s="4">
        <v>48583</v>
      </c>
      <c r="G71" s="16">
        <f ca="1">G129</f>
        <v>66175.856718198687</v>
      </c>
      <c r="H71" s="16">
        <f t="shared" ref="H71:K71" ca="1" si="37">H129</f>
        <v>84670.101148361384</v>
      </c>
      <c r="I71" s="16">
        <f t="shared" ca="1" si="37"/>
        <v>101862.09202435774</v>
      </c>
      <c r="J71" s="16">
        <f t="shared" ca="1" si="37"/>
        <v>116581.70383112929</v>
      </c>
      <c r="K71" s="16">
        <f t="shared" ca="1" si="37"/>
        <v>128364.38935908687</v>
      </c>
      <c r="M71" t="s">
        <v>68</v>
      </c>
    </row>
    <row r="72" spans="2:13">
      <c r="C72" s="29" t="s">
        <v>196</v>
      </c>
      <c r="D72" s="16"/>
      <c r="E72" s="4">
        <v>-7852</v>
      </c>
      <c r="F72" s="4">
        <v>-7852</v>
      </c>
      <c r="G72" s="16">
        <v>-7852</v>
      </c>
      <c r="H72" s="16">
        <v>-7852</v>
      </c>
      <c r="I72" s="16">
        <v>-7852</v>
      </c>
      <c r="J72" s="16">
        <v>-7852</v>
      </c>
      <c r="K72" s="16">
        <v>-7852</v>
      </c>
    </row>
    <row r="73" spans="2:13">
      <c r="C73" s="29" t="s">
        <v>69</v>
      </c>
      <c r="D73" s="4"/>
      <c r="E73" s="4">
        <v>-134</v>
      </c>
      <c r="F73" s="4">
        <v>-32</v>
      </c>
      <c r="G73" s="16">
        <f>F73</f>
        <v>-32</v>
      </c>
      <c r="H73" s="16">
        <f t="shared" ref="H73:K73" si="38">G73</f>
        <v>-32</v>
      </c>
      <c r="I73" s="16">
        <f t="shared" si="38"/>
        <v>-32</v>
      </c>
      <c r="J73" s="16">
        <f t="shared" si="38"/>
        <v>-32</v>
      </c>
      <c r="K73" s="16">
        <f t="shared" si="38"/>
        <v>-32</v>
      </c>
      <c r="M73" t="s">
        <v>210</v>
      </c>
    </row>
    <row r="74" spans="2:13">
      <c r="C74" s="28" t="s">
        <v>70</v>
      </c>
      <c r="D74" s="30"/>
      <c r="E74" s="142">
        <f t="shared" ref="E74:K74" si="39">SUM(E69:E73)</f>
        <v>45131</v>
      </c>
      <c r="F74" s="142">
        <f t="shared" si="39"/>
        <v>54165</v>
      </c>
      <c r="G74" s="142">
        <f t="shared" ca="1" si="39"/>
        <v>73175.58021783334</v>
      </c>
      <c r="H74" s="142">
        <f t="shared" ca="1" si="39"/>
        <v>93425.643236232601</v>
      </c>
      <c r="I74" s="142">
        <f t="shared" ca="1" si="39"/>
        <v>112555.33898357805</v>
      </c>
      <c r="J74" s="142">
        <f t="shared" ca="1" si="39"/>
        <v>129326.54962352326</v>
      </c>
      <c r="K74" s="142">
        <f t="shared" ca="1" si="39"/>
        <v>143277.75331438056</v>
      </c>
    </row>
    <row r="75" spans="2:13">
      <c r="D75" s="19"/>
      <c r="E75" s="19"/>
      <c r="F75" s="19"/>
    </row>
    <row r="76" spans="2:13">
      <c r="C76" s="13" t="s">
        <v>71</v>
      </c>
      <c r="D76" s="31"/>
      <c r="E76" s="31">
        <f t="shared" ref="E76:K76" si="40">E58-E67-E74</f>
        <v>0</v>
      </c>
      <c r="F76" s="31">
        <f t="shared" si="40"/>
        <v>0</v>
      </c>
      <c r="G76" s="31">
        <f t="shared" ca="1" si="40"/>
        <v>0</v>
      </c>
      <c r="H76" s="31">
        <f t="shared" ca="1" si="40"/>
        <v>5.9662852436304092E-9</v>
      </c>
      <c r="I76" s="31">
        <f t="shared" ca="1" si="40"/>
        <v>2.6564521249383688E-7</v>
      </c>
      <c r="J76" s="31">
        <f t="shared" ca="1" si="40"/>
        <v>1.1523079592734575E-6</v>
      </c>
      <c r="K76" s="31">
        <f t="shared" ca="1" si="40"/>
        <v>1.8297345377504826E-5</v>
      </c>
    </row>
    <row r="77" spans="2:13">
      <c r="E77" s="19"/>
      <c r="F77" s="19"/>
      <c r="H77" s="19"/>
      <c r="I77" s="19"/>
      <c r="J77" s="19"/>
      <c r="K77" s="19"/>
    </row>
    <row r="78" spans="2:13">
      <c r="B78" t="s">
        <v>172</v>
      </c>
      <c r="C78" s="6" t="s">
        <v>72</v>
      </c>
      <c r="D78" s="12"/>
      <c r="E78" s="12"/>
      <c r="F78" s="12"/>
      <c r="G78" s="12"/>
      <c r="H78" s="12"/>
      <c r="I78" s="12"/>
      <c r="J78" s="12"/>
      <c r="K78" s="12"/>
    </row>
    <row r="79" spans="2:13">
      <c r="C79" s="27" t="s">
        <v>9</v>
      </c>
      <c r="D79" s="24"/>
      <c r="E79" s="24"/>
      <c r="F79" s="24"/>
      <c r="G79" s="25">
        <v>2026</v>
      </c>
      <c r="H79" s="25">
        <f>G79+1</f>
        <v>2027</v>
      </c>
      <c r="I79" s="25">
        <f>H79+1</f>
        <v>2028</v>
      </c>
      <c r="J79" s="25">
        <f>I79+1</f>
        <v>2029</v>
      </c>
      <c r="K79" s="25">
        <f>J79+1</f>
        <v>2030</v>
      </c>
    </row>
    <row r="80" spans="2:13">
      <c r="C80" s="8" t="s">
        <v>10</v>
      </c>
      <c r="D80" s="26"/>
      <c r="E80" s="26"/>
      <c r="F80" s="26"/>
      <c r="G80" s="26">
        <f>DATE(2025,8,28)+364</f>
        <v>46261</v>
      </c>
      <c r="H80" s="26">
        <f>DATE(2026,8,27)+364</f>
        <v>46625</v>
      </c>
      <c r="I80" s="26">
        <f>DATE(2027,8,26)+371</f>
        <v>46996</v>
      </c>
      <c r="J80" s="26">
        <f>DATE(2028,8,31)+364</f>
        <v>47360</v>
      </c>
      <c r="K80" s="26">
        <f>DATE(2029,8,30)+364</f>
        <v>47724</v>
      </c>
    </row>
    <row r="82" spans="3:13">
      <c r="C82" t="s">
        <v>32</v>
      </c>
      <c r="D82" s="35"/>
      <c r="E82" s="35"/>
      <c r="F82" s="35"/>
      <c r="G82" s="16">
        <f ca="1">G31</f>
        <v>18425.856718202835</v>
      </c>
      <c r="H82" s="16">
        <f ca="1">H31</f>
        <v>19327.244430176906</v>
      </c>
      <c r="I82" s="16">
        <f ca="1">I31</f>
        <v>18024.990876280906</v>
      </c>
      <c r="J82" s="16">
        <f ca="1">J31</f>
        <v>15552.611807732719</v>
      </c>
      <c r="K82" s="16">
        <f ca="1">K31</f>
        <v>12615.685545326112</v>
      </c>
      <c r="M82" s="17"/>
    </row>
    <row r="83" spans="3:13">
      <c r="C83" t="s">
        <v>73</v>
      </c>
      <c r="D83" s="35"/>
      <c r="E83" s="35"/>
      <c r="F83" s="35"/>
      <c r="G83" s="16">
        <f ca="1">G33</f>
        <v>16187.277266928</v>
      </c>
      <c r="H83" s="16">
        <f ca="1">H116</f>
        <v>15738.47185945244</v>
      </c>
      <c r="I83" s="16">
        <f t="shared" ref="I83:K83" ca="1" si="41">I116</f>
        <v>16343.677403139513</v>
      </c>
      <c r="J83" s="16">
        <f t="shared" ca="1" si="41"/>
        <v>17372.287894891622</v>
      </c>
      <c r="K83" s="16">
        <f t="shared" ca="1" si="41"/>
        <v>18170.909785898006</v>
      </c>
    </row>
    <row r="84" spans="3:13">
      <c r="C84" t="s">
        <v>37</v>
      </c>
      <c r="D84" s="35"/>
      <c r="E84" s="35"/>
      <c r="F84" s="35"/>
      <c r="G84" s="16">
        <f ca="1">G35</f>
        <v>1417.7234996346513</v>
      </c>
      <c r="H84" s="16">
        <f ca="1">H35</f>
        <v>1755.8185882365667</v>
      </c>
      <c r="I84" s="16">
        <f ca="1">I35</f>
        <v>1937.7048713490954</v>
      </c>
      <c r="J84" s="16">
        <f ca="1">J35</f>
        <v>2051.598833173643</v>
      </c>
      <c r="K84" s="16">
        <f ca="1">K35</f>
        <v>2168.5181628997393</v>
      </c>
    </row>
    <row r="85" spans="3:13">
      <c r="C85" t="s">
        <v>74</v>
      </c>
      <c r="D85" s="19"/>
      <c r="E85" s="19"/>
      <c r="F85" s="19"/>
      <c r="G85" s="16">
        <f ca="1">SUM(F49:F51)-SUM(G49:G51)</f>
        <v>-6104.788343461576</v>
      </c>
      <c r="H85" s="16">
        <f ca="1">SUM(G49:G51)-SUM(H49:H51)</f>
        <v>-7379.7964762284137</v>
      </c>
      <c r="I85" s="16">
        <f ca="1">SUM(H49:H51)-SUM(I49:I51)</f>
        <v>-4976.6254343971086</v>
      </c>
      <c r="J85" s="16">
        <f ca="1">SUM(I49:I51)-SUM(J49:J51)</f>
        <v>-3931.8565420097075</v>
      </c>
      <c r="K85" s="16">
        <f ca="1">SUM(J49:J51)-SUM(K49:K51)</f>
        <v>-4189.9194964725975</v>
      </c>
    </row>
    <row r="86" spans="3:13">
      <c r="C86" t="s">
        <v>75</v>
      </c>
      <c r="D86" s="19"/>
      <c r="E86" s="19"/>
      <c r="F86" s="19"/>
      <c r="G86" s="16">
        <f ca="1">SUM(G60:G61)-SUM(F60:F61)</f>
        <v>2230.5540616013423</v>
      </c>
      <c r="H86" s="16">
        <f ca="1">SUM(H60:H61)-SUM(G60:G61)</f>
        <v>4866.8468590723132</v>
      </c>
      <c r="I86" s="16">
        <f ca="1">SUM(I60:I61)-SUM(H60:H61)</f>
        <v>3780.6067641905793</v>
      </c>
      <c r="J86" s="16">
        <f ca="1">SUM(J60:J61)-SUM(I60:I61)</f>
        <v>3309.2460402145371</v>
      </c>
      <c r="K86" s="16">
        <f ca="1">SUM(K60:K61)-SUM(J60:J61)</f>
        <v>3574.5629801007963</v>
      </c>
    </row>
    <row r="87" spans="3:13">
      <c r="C87" t="s">
        <v>56</v>
      </c>
      <c r="G87" s="16">
        <f ca="1">-G121</f>
        <v>-1357.9588507584879</v>
      </c>
      <c r="H87" s="16">
        <f t="shared" ref="H87:K87" ca="1" si="42">-H121</f>
        <v>-1060.8626429700639</v>
      </c>
      <c r="I87" s="16">
        <f t="shared" ca="1" si="42"/>
        <v>-613.91352032281429</v>
      </c>
      <c r="J87" s="16">
        <f t="shared" ca="1" si="42"/>
        <v>-414.8530242719915</v>
      </c>
      <c r="K87" s="16">
        <f t="shared" ca="1" si="42"/>
        <v>-418.14955403353076</v>
      </c>
      <c r="M87" t="s">
        <v>76</v>
      </c>
    </row>
    <row r="88" spans="3:13">
      <c r="C88" t="s">
        <v>63</v>
      </c>
      <c r="G88" s="16">
        <f ca="1">G66-F66</f>
        <v>661.70680038354067</v>
      </c>
      <c r="H88" s="16">
        <f ca="1">H66-G66</f>
        <v>501.92511610346082</v>
      </c>
      <c r="I88" s="16">
        <f ca="1">I66-H66</f>
        <v>270.02253758372308</v>
      </c>
      <c r="J88" s="16">
        <f ca="1">J66-I66</f>
        <v>169.08331986915846</v>
      </c>
      <c r="K88" s="16">
        <f ca="1">K66-J66</f>
        <v>173.57468394522311</v>
      </c>
      <c r="M88" s="17"/>
    </row>
    <row r="89" spans="3:13">
      <c r="C89" s="17" t="s">
        <v>77</v>
      </c>
      <c r="G89" s="30">
        <f ca="1">SUM(G82:G88)</f>
        <v>31460.371152530308</v>
      </c>
      <c r="H89" s="30">
        <f t="shared" ref="H89:K89" ca="1" si="43">SUM(H82:H88)</f>
        <v>33749.647733843201</v>
      </c>
      <c r="I89" s="30">
        <f t="shared" ca="1" si="43"/>
        <v>34766.46349782389</v>
      </c>
      <c r="J89" s="30">
        <f t="shared" ca="1" si="43"/>
        <v>34108.118329599987</v>
      </c>
      <c r="K89" s="30">
        <f t="shared" ca="1" si="43"/>
        <v>32095.182107663746</v>
      </c>
    </row>
    <row r="91" spans="3:13">
      <c r="C91" t="s">
        <v>78</v>
      </c>
      <c r="G91" s="16">
        <f>-G107</f>
        <v>-21474</v>
      </c>
      <c r="H91" s="16">
        <f t="shared" ref="H91:K91" si="44">-H107</f>
        <v>-20123</v>
      </c>
      <c r="I91" s="16">
        <f t="shared" si="44"/>
        <v>-20187</v>
      </c>
      <c r="J91" s="16">
        <f t="shared" si="44"/>
        <v>-20761</v>
      </c>
      <c r="K91" s="16">
        <f t="shared" si="44"/>
        <v>-21032</v>
      </c>
    </row>
    <row r="92" spans="3:13">
      <c r="C92" s="17" t="s">
        <v>79</v>
      </c>
      <c r="G92" s="18">
        <f>G91</f>
        <v>-21474</v>
      </c>
      <c r="H92" s="18">
        <f t="shared" ref="H92:K92" si="45">H91</f>
        <v>-20123</v>
      </c>
      <c r="I92" s="18">
        <f t="shared" si="45"/>
        <v>-20187</v>
      </c>
      <c r="J92" s="18">
        <f t="shared" si="45"/>
        <v>-20761</v>
      </c>
      <c r="K92" s="18">
        <f t="shared" si="45"/>
        <v>-21032</v>
      </c>
    </row>
    <row r="94" spans="3:13">
      <c r="C94" t="s">
        <v>80</v>
      </c>
      <c r="G94" s="16">
        <f>G63-F63</f>
        <v>0</v>
      </c>
      <c r="H94" s="16">
        <f>H63-G63</f>
        <v>0</v>
      </c>
      <c r="I94" s="16">
        <f>I63-H63</f>
        <v>0</v>
      </c>
      <c r="J94" s="16">
        <f>J63-I63</f>
        <v>0</v>
      </c>
      <c r="K94" s="16">
        <f>K63-J63</f>
        <v>0</v>
      </c>
    </row>
    <row r="95" spans="3:13">
      <c r="C95" t="s">
        <v>81</v>
      </c>
      <c r="G95" s="16">
        <f ca="1">G62-F62</f>
        <v>-510</v>
      </c>
      <c r="H95" s="16">
        <f ca="1">H62-G62</f>
        <v>0</v>
      </c>
      <c r="I95" s="16">
        <f ca="1">I62-H62</f>
        <v>0</v>
      </c>
      <c r="J95" s="16">
        <f ca="1">J62-I62</f>
        <v>0</v>
      </c>
      <c r="K95" s="16">
        <f ca="1">K62-J62</f>
        <v>0</v>
      </c>
    </row>
    <row r="96" spans="3:13">
      <c r="C96" t="s">
        <v>82</v>
      </c>
      <c r="G96" s="16">
        <f>G128</f>
        <v>-306</v>
      </c>
      <c r="H96" s="16">
        <f t="shared" ref="H96:K96" si="46">H128</f>
        <v>-306</v>
      </c>
      <c r="I96" s="16">
        <f t="shared" si="46"/>
        <v>-306</v>
      </c>
      <c r="J96" s="16">
        <f t="shared" si="46"/>
        <v>-306</v>
      </c>
      <c r="K96" s="16">
        <f t="shared" si="46"/>
        <v>-306</v>
      </c>
    </row>
    <row r="97" spans="2:17">
      <c r="C97" t="s">
        <v>83</v>
      </c>
      <c r="G97" s="16">
        <f>G127</f>
        <v>-527</v>
      </c>
      <c r="H97" s="16">
        <f t="shared" ref="H97:K97" si="47">H127</f>
        <v>-527</v>
      </c>
      <c r="I97" s="16">
        <f t="shared" si="47"/>
        <v>-527</v>
      </c>
      <c r="J97" s="16">
        <f t="shared" si="47"/>
        <v>-527</v>
      </c>
      <c r="K97" s="16">
        <f t="shared" si="47"/>
        <v>-527</v>
      </c>
    </row>
    <row r="98" spans="2:17">
      <c r="C98" s="17" t="s">
        <v>84</v>
      </c>
      <c r="G98" s="30">
        <f ca="1">SUM(G94:G97)</f>
        <v>-1343</v>
      </c>
      <c r="H98" s="30">
        <f t="shared" ref="H98:K98" ca="1" si="48">SUM(H94:H97)</f>
        <v>-833</v>
      </c>
      <c r="I98" s="30">
        <f t="shared" ca="1" si="48"/>
        <v>-833</v>
      </c>
      <c r="J98" s="30">
        <f t="shared" ca="1" si="48"/>
        <v>-833</v>
      </c>
      <c r="K98" s="30">
        <f t="shared" ca="1" si="48"/>
        <v>-833</v>
      </c>
    </row>
    <row r="100" spans="2:17">
      <c r="C100" s="17" t="s">
        <v>85</v>
      </c>
      <c r="G100" s="30">
        <f ca="1">G98+G89+G92</f>
        <v>8643.3711525303079</v>
      </c>
      <c r="H100" s="30">
        <f t="shared" ref="H100:K100" ca="1" si="49">H98+H89+H92</f>
        <v>12793.647733843201</v>
      </c>
      <c r="I100" s="30">
        <f t="shared" ca="1" si="49"/>
        <v>13746.46349782389</v>
      </c>
      <c r="J100" s="30">
        <f t="shared" ca="1" si="49"/>
        <v>12514.118329599987</v>
      </c>
      <c r="K100" s="30">
        <f t="shared" ca="1" si="49"/>
        <v>10230.182107663746</v>
      </c>
    </row>
    <row r="102" spans="2:17">
      <c r="B102" t="s">
        <v>172</v>
      </c>
      <c r="C102" s="6" t="s">
        <v>86</v>
      </c>
      <c r="D102" s="8"/>
      <c r="E102" s="8"/>
      <c r="F102" s="8"/>
      <c r="G102" s="8"/>
      <c r="H102" s="8"/>
      <c r="I102" s="8"/>
      <c r="J102" s="8"/>
      <c r="K102" s="8"/>
    </row>
    <row r="103" spans="2:17">
      <c r="C103" s="27" t="s">
        <v>9</v>
      </c>
      <c r="D103" s="24">
        <f>E103-1</f>
        <v>2023</v>
      </c>
      <c r="E103" s="24">
        <f>F103-1</f>
        <v>2024</v>
      </c>
      <c r="F103" s="24">
        <v>2025</v>
      </c>
      <c r="G103" s="25">
        <v>2026</v>
      </c>
      <c r="H103" s="25">
        <f>G103+1</f>
        <v>2027</v>
      </c>
      <c r="I103" s="25">
        <f>H103+1</f>
        <v>2028</v>
      </c>
      <c r="J103" s="25">
        <f>I103+1</f>
        <v>2029</v>
      </c>
      <c r="K103" s="25">
        <f>J103+1</f>
        <v>2030</v>
      </c>
    </row>
    <row r="104" spans="2:17">
      <c r="C104" s="8" t="s">
        <v>10</v>
      </c>
      <c r="D104" s="26">
        <f>DATE(2024,8,29)-364</f>
        <v>45169</v>
      </c>
      <c r="E104" s="26">
        <f>DATE(2025,8,28)-364</f>
        <v>45533</v>
      </c>
      <c r="F104" s="26">
        <f>D10</f>
        <v>45897</v>
      </c>
      <c r="G104" s="26">
        <f>DATE(2025,8,28)+364</f>
        <v>46261</v>
      </c>
      <c r="H104" s="26">
        <f>DATE(2026,8,27)+364</f>
        <v>46625</v>
      </c>
      <c r="I104" s="26">
        <f>DATE(2027,8,26)+371</f>
        <v>46996</v>
      </c>
      <c r="J104" s="26">
        <f>DATE(2028,8,31)+364</f>
        <v>47360</v>
      </c>
      <c r="K104" s="26">
        <f>DATE(2029,8,30)+364</f>
        <v>47724</v>
      </c>
    </row>
    <row r="105" spans="2:17">
      <c r="C105" s="17"/>
      <c r="G105" s="75" t="s">
        <v>87</v>
      </c>
      <c r="H105" s="75"/>
      <c r="I105" s="75"/>
      <c r="J105" s="75"/>
      <c r="K105" s="75"/>
    </row>
    <row r="106" spans="2:17">
      <c r="C106" s="29" t="s">
        <v>88</v>
      </c>
      <c r="G106" s="60">
        <f>F109</f>
        <v>46590</v>
      </c>
      <c r="H106" s="60">
        <f>G109</f>
        <v>51958.5</v>
      </c>
      <c r="I106" s="60">
        <f t="shared" ref="I106:K106" si="50">H109</f>
        <v>56435.8675</v>
      </c>
      <c r="J106" s="60">
        <f t="shared" si="50"/>
        <v>60372.332499999997</v>
      </c>
      <c r="K106" s="60">
        <f t="shared" si="50"/>
        <v>63849.799999999988</v>
      </c>
      <c r="M106" t="s">
        <v>89</v>
      </c>
    </row>
    <row r="107" spans="2:17">
      <c r="C107" s="32" t="s">
        <v>90</v>
      </c>
      <c r="D107" s="4">
        <v>7680</v>
      </c>
      <c r="E107" s="4">
        <v>8390</v>
      </c>
      <c r="F107" s="4">
        <v>15860</v>
      </c>
      <c r="G107" s="4">
        <v>21474</v>
      </c>
      <c r="H107" s="4">
        <v>20123</v>
      </c>
      <c r="I107" s="4">
        <v>20187</v>
      </c>
      <c r="J107" s="4">
        <v>20761</v>
      </c>
      <c r="K107" s="4">
        <v>21032</v>
      </c>
      <c r="M107" t="s">
        <v>175</v>
      </c>
    </row>
    <row r="108" spans="2:17">
      <c r="C108" s="69" t="s">
        <v>91</v>
      </c>
      <c r="D108" s="63">
        <v>-7670</v>
      </c>
      <c r="E108" s="63">
        <v>-7700</v>
      </c>
      <c r="F108" s="63">
        <v>-8280</v>
      </c>
      <c r="G108" s="97">
        <f>-(G107*G111)</f>
        <v>-16105.5</v>
      </c>
      <c r="H108" s="97">
        <f t="shared" ref="H108:K108" si="51">-(H107*H111)</f>
        <v>-15645.6325</v>
      </c>
      <c r="I108" s="97">
        <f t="shared" si="51"/>
        <v>-16250.534999999998</v>
      </c>
      <c r="J108" s="97">
        <f t="shared" si="51"/>
        <v>-17283.532499999998</v>
      </c>
      <c r="K108" s="97">
        <f t="shared" si="51"/>
        <v>-18087.519999999997</v>
      </c>
      <c r="M108" t="s">
        <v>92</v>
      </c>
    </row>
    <row r="109" spans="2:17">
      <c r="C109" s="36" t="s">
        <v>93</v>
      </c>
      <c r="D109" s="30"/>
      <c r="E109" s="30">
        <f>E52</f>
        <v>39749</v>
      </c>
      <c r="F109" s="30">
        <f>F52</f>
        <v>46590</v>
      </c>
      <c r="G109" s="96">
        <f>SUM(G106:G108)</f>
        <v>51958.5</v>
      </c>
      <c r="H109" s="96">
        <f t="shared" ref="H109:K109" si="52">SUM(H106:H108)</f>
        <v>56435.8675</v>
      </c>
      <c r="I109" s="96">
        <f t="shared" si="52"/>
        <v>60372.332499999997</v>
      </c>
      <c r="J109" s="96">
        <f t="shared" si="52"/>
        <v>63849.799999999988</v>
      </c>
      <c r="K109" s="96">
        <f t="shared" si="52"/>
        <v>66794.28</v>
      </c>
      <c r="M109" t="s">
        <v>94</v>
      </c>
    </row>
    <row r="110" spans="2:17">
      <c r="C110" s="29"/>
      <c r="L110" s="20" t="s">
        <v>95</v>
      </c>
    </row>
    <row r="111" spans="2:17">
      <c r="C111" s="29" t="s">
        <v>96</v>
      </c>
      <c r="D111" s="5">
        <f>-(D108/D107)</f>
        <v>0.99869791666666663</v>
      </c>
      <c r="E111" s="5">
        <f>-(E108/E107)</f>
        <v>0.91775923718712749</v>
      </c>
      <c r="F111" s="5">
        <f>-(F108/F107)</f>
        <v>0.5220680958385876</v>
      </c>
      <c r="G111" s="92">
        <v>0.75</v>
      </c>
      <c r="H111" s="92">
        <f>G111+$L$111</f>
        <v>0.77749999999999997</v>
      </c>
      <c r="I111" s="92">
        <f>H111+$L$111</f>
        <v>0.80499999999999994</v>
      </c>
      <c r="J111" s="92">
        <f>I111+$L$111</f>
        <v>0.83249999999999991</v>
      </c>
      <c r="K111" s="92">
        <f>J111+$L$111</f>
        <v>0.85999999999999988</v>
      </c>
      <c r="L111" s="56">
        <v>2.75E-2</v>
      </c>
    </row>
    <row r="112" spans="2:17">
      <c r="C112" s="29"/>
      <c r="D112" s="5"/>
      <c r="E112" s="5"/>
      <c r="F112" s="5"/>
      <c r="G112" s="22"/>
      <c r="H112" s="22"/>
      <c r="I112" s="22"/>
      <c r="J112" s="22"/>
      <c r="K112" s="22"/>
      <c r="O112" s="65"/>
      <c r="P112" s="65"/>
      <c r="Q112" s="65"/>
    </row>
    <row r="113" spans="2:17">
      <c r="B113" t="s">
        <v>172</v>
      </c>
      <c r="C113" s="89" t="s">
        <v>97</v>
      </c>
      <c r="D113" s="33"/>
      <c r="E113" s="33"/>
      <c r="F113" s="33"/>
      <c r="G113" s="90"/>
      <c r="H113" s="90"/>
      <c r="I113" s="90"/>
      <c r="J113" s="90"/>
      <c r="K113" s="90"/>
      <c r="O113" s="65"/>
      <c r="P113" s="65"/>
      <c r="Q113" s="65"/>
    </row>
    <row r="114" spans="2:17">
      <c r="C114" s="29" t="s">
        <v>98</v>
      </c>
      <c r="D114" s="19">
        <f>D116+D108</f>
        <v>86</v>
      </c>
      <c r="E114" s="19">
        <f t="shared" ref="E114:F114" si="53">E116+E108</f>
        <v>80</v>
      </c>
      <c r="F114" s="19">
        <f t="shared" si="53"/>
        <v>72</v>
      </c>
      <c r="G114" s="93">
        <f ca="1">G115*G18</f>
        <v>81.777266927999989</v>
      </c>
      <c r="H114" s="93">
        <f ca="1">H115*H18</f>
        <v>92.839359452439595</v>
      </c>
      <c r="I114" s="93">
        <f ca="1">I115*I18</f>
        <v>93.142403139514499</v>
      </c>
      <c r="J114" s="93">
        <f ca="1">J115*J18</f>
        <v>88.755394891625471</v>
      </c>
      <c r="K114" s="93">
        <f ca="1">K115*K18</f>
        <v>83.3897858980107</v>
      </c>
      <c r="L114" s="20" t="s">
        <v>95</v>
      </c>
      <c r="O114" s="65"/>
      <c r="P114" s="65"/>
      <c r="Q114" s="65"/>
    </row>
    <row r="115" spans="2:17">
      <c r="C115" s="21" t="s">
        <v>99</v>
      </c>
      <c r="D115" s="61">
        <f>D114/D18</f>
        <v>5.5341055341055342E-3</v>
      </c>
      <c r="E115" s="61">
        <f>E114/E18</f>
        <v>3.1858548046672774E-3</v>
      </c>
      <c r="F115" s="61">
        <f>F114/F18</f>
        <v>1.9262667879501312E-3</v>
      </c>
      <c r="G115" s="92">
        <v>1.5E-3</v>
      </c>
      <c r="H115" s="92">
        <f>G115-$L$115</f>
        <v>1.3749999999999999E-3</v>
      </c>
      <c r="I115" s="92">
        <f>H115-$L$115</f>
        <v>1.2499999999999998E-3</v>
      </c>
      <c r="J115" s="92">
        <f>I115-$L$115</f>
        <v>1.1249999999999997E-3</v>
      </c>
      <c r="K115" s="92">
        <f>J115-$L$115</f>
        <v>9.9999999999999959E-4</v>
      </c>
      <c r="L115" s="144">
        <v>1.25E-4</v>
      </c>
      <c r="O115" s="65"/>
      <c r="P115" s="65"/>
      <c r="Q115" s="65"/>
    </row>
    <row r="116" spans="2:17">
      <c r="C116" s="28" t="s">
        <v>100</v>
      </c>
      <c r="D116" s="30">
        <f>D33</f>
        <v>7756</v>
      </c>
      <c r="E116" s="30">
        <f>E33</f>
        <v>7780</v>
      </c>
      <c r="F116" s="30">
        <f>F33</f>
        <v>8352</v>
      </c>
      <c r="G116" s="94">
        <f ca="1">-(G108-G114)</f>
        <v>16187.277266928</v>
      </c>
      <c r="H116" s="94">
        <f t="shared" ref="H116:K116" ca="1" si="54">-(H108-H114)</f>
        <v>15738.47185945244</v>
      </c>
      <c r="I116" s="94">
        <f t="shared" ca="1" si="54"/>
        <v>16343.677403139513</v>
      </c>
      <c r="J116" s="94">
        <f t="shared" ca="1" si="54"/>
        <v>17372.287894891622</v>
      </c>
      <c r="K116" s="94">
        <f t="shared" ca="1" si="54"/>
        <v>18170.909785898006</v>
      </c>
      <c r="O116" s="65"/>
      <c r="P116" s="65"/>
      <c r="Q116" s="65"/>
    </row>
    <row r="117" spans="2:17">
      <c r="H117" s="19"/>
      <c r="I117" s="19"/>
      <c r="J117" s="19"/>
      <c r="K117" s="19"/>
    </row>
    <row r="118" spans="2:17">
      <c r="C118" s="43" t="s">
        <v>101</v>
      </c>
      <c r="D118" s="8"/>
      <c r="E118" s="8"/>
      <c r="F118" s="8"/>
      <c r="H118" s="19"/>
      <c r="I118" s="19"/>
      <c r="J118" s="19"/>
      <c r="K118" s="19"/>
    </row>
    <row r="119" spans="2:17">
      <c r="C119" s="29" t="s">
        <v>88</v>
      </c>
      <c r="D119" s="19"/>
      <c r="G119" s="99">
        <f>F122</f>
        <v>2783</v>
      </c>
      <c r="H119" s="99">
        <f t="shared" ref="H119:K119" ca="1" si="55">G122</f>
        <v>4059.1815838304879</v>
      </c>
      <c r="I119" s="99">
        <f t="shared" ca="1" si="55"/>
        <v>5027.2048673481122</v>
      </c>
      <c r="J119" s="99">
        <f t="shared" ca="1" si="55"/>
        <v>5547.975984531412</v>
      </c>
      <c r="K119" s="99">
        <f t="shared" ca="1" si="55"/>
        <v>5874.073613911778</v>
      </c>
      <c r="M119" t="s">
        <v>89</v>
      </c>
    </row>
    <row r="120" spans="2:17">
      <c r="C120" s="21" t="s">
        <v>176</v>
      </c>
      <c r="G120" s="19">
        <f ca="1">-G114</f>
        <v>-81.777266927999989</v>
      </c>
      <c r="H120" s="19">
        <f t="shared" ref="H120:K120" ca="1" si="56">-H114</f>
        <v>-92.839359452439595</v>
      </c>
      <c r="I120" s="19">
        <f t="shared" ca="1" si="56"/>
        <v>-93.142403139514499</v>
      </c>
      <c r="J120" s="19">
        <f t="shared" ca="1" si="56"/>
        <v>-88.755394891625471</v>
      </c>
      <c r="K120" s="19">
        <f t="shared" ca="1" si="56"/>
        <v>-83.3897858980107</v>
      </c>
      <c r="M120" t="s">
        <v>102</v>
      </c>
    </row>
    <row r="121" spans="2:17">
      <c r="C121" s="70" t="s">
        <v>103</v>
      </c>
      <c r="D121" s="67"/>
      <c r="E121" s="67"/>
      <c r="F121" s="68"/>
      <c r="G121" s="98">
        <f ca="1">G122-G119-G120</f>
        <v>1357.9588507584879</v>
      </c>
      <c r="H121" s="98">
        <f t="shared" ref="H121:K121" ca="1" si="57">H122-H119-H120</f>
        <v>1060.8626429700639</v>
      </c>
      <c r="I121" s="98">
        <f t="shared" ca="1" si="57"/>
        <v>613.91352032281429</v>
      </c>
      <c r="J121" s="98">
        <f t="shared" ca="1" si="57"/>
        <v>414.8530242719915</v>
      </c>
      <c r="K121" s="98">
        <f t="shared" ca="1" si="57"/>
        <v>418.14955403353076</v>
      </c>
      <c r="M121" t="s">
        <v>104</v>
      </c>
    </row>
    <row r="122" spans="2:17">
      <c r="C122" s="36" t="s">
        <v>93</v>
      </c>
      <c r="E122" s="30">
        <f t="shared" ref="E122:K122" si="58">E57</f>
        <v>1518</v>
      </c>
      <c r="F122" s="30">
        <f t="shared" si="58"/>
        <v>2783</v>
      </c>
      <c r="G122" s="30">
        <f t="shared" ca="1" si="58"/>
        <v>4059.1815838304879</v>
      </c>
      <c r="H122" s="30">
        <f t="shared" ca="1" si="58"/>
        <v>5027.2048673481122</v>
      </c>
      <c r="I122" s="30">
        <f t="shared" ca="1" si="58"/>
        <v>5547.975984531412</v>
      </c>
      <c r="J122" s="30">
        <f t="shared" ca="1" si="58"/>
        <v>5874.073613911778</v>
      </c>
      <c r="K122" s="30">
        <f t="shared" ca="1" si="58"/>
        <v>6208.8333820472981</v>
      </c>
      <c r="M122" t="s">
        <v>105</v>
      </c>
    </row>
    <row r="123" spans="2:17">
      <c r="C123" s="21"/>
      <c r="E123" s="19"/>
      <c r="F123" s="19"/>
      <c r="H123" s="19"/>
      <c r="I123" s="19"/>
      <c r="J123" s="19"/>
      <c r="K123" s="19"/>
    </row>
    <row r="124" spans="2:17">
      <c r="B124" t="s">
        <v>172</v>
      </c>
      <c r="C124" s="44" t="s">
        <v>106</v>
      </c>
      <c r="D124" s="43"/>
      <c r="E124" s="43"/>
      <c r="F124" s="43"/>
      <c r="G124" s="8"/>
      <c r="H124" s="8"/>
      <c r="I124" s="8"/>
      <c r="J124" s="8"/>
      <c r="K124" s="8"/>
    </row>
    <row r="125" spans="2:17">
      <c r="C125" s="29" t="s">
        <v>88</v>
      </c>
      <c r="G125" s="60">
        <f>F129</f>
        <v>48583</v>
      </c>
      <c r="H125" s="60">
        <f t="shared" ref="H125:K125" ca="1" si="59">G129</f>
        <v>66175.856718198687</v>
      </c>
      <c r="I125" s="60">
        <f t="shared" ca="1" si="59"/>
        <v>84670.101148361384</v>
      </c>
      <c r="J125" s="60">
        <f t="shared" ca="1" si="59"/>
        <v>101862.09202435774</v>
      </c>
      <c r="K125" s="60">
        <f t="shared" ca="1" si="59"/>
        <v>116581.70383112929</v>
      </c>
      <c r="M125" t="s">
        <v>89</v>
      </c>
    </row>
    <row r="126" spans="2:17">
      <c r="C126" s="21" t="s">
        <v>107</v>
      </c>
      <c r="D126" s="16">
        <f t="shared" ref="D126:K126" si="60">D31</f>
        <v>-5835</v>
      </c>
      <c r="E126" s="16">
        <f t="shared" si="60"/>
        <v>789</v>
      </c>
      <c r="F126" s="16">
        <f t="shared" si="60"/>
        <v>8530</v>
      </c>
      <c r="G126" s="60">
        <f t="shared" ca="1" si="60"/>
        <v>18425.856718202835</v>
      </c>
      <c r="H126" s="60">
        <f t="shared" ca="1" si="60"/>
        <v>19327.244430176906</v>
      </c>
      <c r="I126" s="60">
        <f t="shared" ca="1" si="60"/>
        <v>18024.990876280906</v>
      </c>
      <c r="J126" s="60">
        <f t="shared" ca="1" si="60"/>
        <v>15552.611807732719</v>
      </c>
      <c r="K126" s="60">
        <f t="shared" ca="1" si="60"/>
        <v>12615.685545326112</v>
      </c>
      <c r="M126" t="s">
        <v>108</v>
      </c>
    </row>
    <row r="127" spans="2:17">
      <c r="C127" s="21" t="s">
        <v>109</v>
      </c>
      <c r="D127" s="4">
        <v>-509</v>
      </c>
      <c r="E127" s="4">
        <v>-518</v>
      </c>
      <c r="F127" s="4">
        <v>-527</v>
      </c>
      <c r="G127" s="60">
        <f>F127</f>
        <v>-527</v>
      </c>
      <c r="H127" s="60">
        <f t="shared" ref="H127:K127" si="61">G127</f>
        <v>-527</v>
      </c>
      <c r="I127" s="60">
        <f t="shared" si="61"/>
        <v>-527</v>
      </c>
      <c r="J127" s="60">
        <f t="shared" si="61"/>
        <v>-527</v>
      </c>
      <c r="K127" s="60">
        <f t="shared" si="61"/>
        <v>-527</v>
      </c>
      <c r="M127" t="s">
        <v>193</v>
      </c>
    </row>
    <row r="128" spans="2:17">
      <c r="C128" s="70" t="s">
        <v>110</v>
      </c>
      <c r="D128" s="63">
        <v>-108</v>
      </c>
      <c r="E128" s="63">
        <v>-207</v>
      </c>
      <c r="F128" s="63">
        <v>-306</v>
      </c>
      <c r="G128" s="97">
        <f>F128</f>
        <v>-306</v>
      </c>
      <c r="H128" s="97">
        <f t="shared" ref="H128:K128" si="62">G128</f>
        <v>-306</v>
      </c>
      <c r="I128" s="97">
        <f t="shared" si="62"/>
        <v>-306</v>
      </c>
      <c r="J128" s="97">
        <f t="shared" si="62"/>
        <v>-306</v>
      </c>
      <c r="K128" s="97">
        <f t="shared" si="62"/>
        <v>-306</v>
      </c>
      <c r="M128" t="s">
        <v>193</v>
      </c>
    </row>
    <row r="129" spans="2:17">
      <c r="C129" s="36" t="s">
        <v>93</v>
      </c>
      <c r="D129" s="18">
        <v>40824</v>
      </c>
      <c r="E129" s="18">
        <f>E71</f>
        <v>40877</v>
      </c>
      <c r="F129" s="18">
        <f>F71</f>
        <v>48583</v>
      </c>
      <c r="G129" s="60">
        <f ca="1">SUM(G125:G128)</f>
        <v>66175.856718202835</v>
      </c>
      <c r="H129" s="60">
        <f t="shared" ref="H129:K129" ca="1" si="63">SUM(H125:H128)</f>
        <v>84670.101148375601</v>
      </c>
      <c r="I129" s="60">
        <f t="shared" ca="1" si="63"/>
        <v>101862.09202464229</v>
      </c>
      <c r="J129" s="60">
        <f t="shared" ca="1" si="63"/>
        <v>116581.70383209045</v>
      </c>
      <c r="K129" s="60">
        <f t="shared" ca="1" si="63"/>
        <v>128364.38937645539</v>
      </c>
      <c r="M129" t="s">
        <v>111</v>
      </c>
    </row>
    <row r="130" spans="2:17">
      <c r="E130" s="35"/>
      <c r="F130" s="35"/>
    </row>
    <row r="131" spans="2:17">
      <c r="B131" t="s">
        <v>172</v>
      </c>
      <c r="C131" s="6" t="s">
        <v>112</v>
      </c>
      <c r="D131" s="8"/>
      <c r="E131" s="8"/>
      <c r="F131" s="8"/>
      <c r="G131" s="8"/>
      <c r="H131" s="8"/>
      <c r="I131" s="8"/>
      <c r="J131" s="8"/>
      <c r="K131" s="8"/>
      <c r="O131" s="65"/>
      <c r="P131" s="65"/>
    </row>
    <row r="132" spans="2:17">
      <c r="C132" s="27" t="str">
        <f>C15</f>
        <v xml:space="preserve">Fiscal year  </v>
      </c>
      <c r="D132" s="24">
        <f>E132-1</f>
        <v>2023</v>
      </c>
      <c r="E132" s="24">
        <f>F132-1</f>
        <v>2024</v>
      </c>
      <c r="F132" s="24">
        <v>2025</v>
      </c>
      <c r="G132" s="25">
        <v>2026</v>
      </c>
      <c r="H132" s="25">
        <f>G132+1</f>
        <v>2027</v>
      </c>
      <c r="I132" s="25">
        <f>H132+1</f>
        <v>2028</v>
      </c>
      <c r="J132" s="25">
        <f>I132+1</f>
        <v>2029</v>
      </c>
      <c r="K132" s="25">
        <f>J132+1</f>
        <v>2030</v>
      </c>
      <c r="O132" s="65"/>
      <c r="P132" s="65"/>
    </row>
    <row r="133" spans="2:17">
      <c r="C133" s="8" t="str">
        <f>C16</f>
        <v>Fiscal year end date</v>
      </c>
      <c r="D133" s="26">
        <f>DATE(2024,8,29)-364</f>
        <v>45169</v>
      </c>
      <c r="E133" s="26">
        <f>DATE(2025,8,28)-364</f>
        <v>45533</v>
      </c>
      <c r="F133" s="26">
        <f>D10</f>
        <v>45897</v>
      </c>
      <c r="G133" s="26">
        <f>DATE(2025,8,28)+364</f>
        <v>46261</v>
      </c>
      <c r="H133" s="26">
        <f>DATE(2026,8,27)+364</f>
        <v>46625</v>
      </c>
      <c r="I133" s="26">
        <f>DATE(2027,8,26)+371</f>
        <v>46996</v>
      </c>
      <c r="J133" s="26">
        <f>DATE(2028,8,31)+364</f>
        <v>47360</v>
      </c>
      <c r="K133" s="26">
        <f>DATE(2029,8,30)+364</f>
        <v>47724</v>
      </c>
      <c r="O133" s="65"/>
      <c r="P133" s="65"/>
    </row>
    <row r="134" spans="2:17">
      <c r="C134" s="17"/>
      <c r="O134" s="65"/>
      <c r="P134" s="65"/>
    </row>
    <row r="135" spans="2:17">
      <c r="C135" s="20" t="s">
        <v>113</v>
      </c>
      <c r="O135" s="65"/>
      <c r="P135" s="65"/>
      <c r="Q135" s="65"/>
    </row>
    <row r="136" spans="2:17">
      <c r="C136" s="21" t="s">
        <v>114</v>
      </c>
      <c r="G136" s="60">
        <f>F48</f>
        <v>11936</v>
      </c>
      <c r="H136" s="60">
        <f ca="1">G48</f>
        <v>20579.371152526161</v>
      </c>
      <c r="I136" s="60">
        <f ca="1">H48</f>
        <v>33373.018886361097</v>
      </c>
      <c r="J136" s="60">
        <f ca="1">I48</f>
        <v>47119.482384160161</v>
      </c>
      <c r="K136" s="60">
        <f ca="1">J48</f>
        <v>59633.600713685642</v>
      </c>
      <c r="M136" t="s">
        <v>115</v>
      </c>
      <c r="O136" s="65"/>
      <c r="P136" s="65"/>
    </row>
    <row r="137" spans="2:17">
      <c r="C137" s="21" t="s">
        <v>116</v>
      </c>
      <c r="G137" s="4">
        <v>-10000</v>
      </c>
      <c r="H137" s="4">
        <v>-10000</v>
      </c>
      <c r="I137" s="4">
        <v>-10000</v>
      </c>
      <c r="J137" s="4">
        <v>-10000</v>
      </c>
      <c r="K137" s="4">
        <v>-10000</v>
      </c>
      <c r="M137" t="s">
        <v>192</v>
      </c>
      <c r="O137" s="65"/>
      <c r="P137" s="65"/>
    </row>
    <row r="138" spans="2:17">
      <c r="C138" s="70" t="s">
        <v>117</v>
      </c>
      <c r="D138" s="67"/>
      <c r="E138" s="67"/>
      <c r="F138" s="67"/>
      <c r="G138" s="60">
        <f ca="1">SUM(G89,G92,G94,G96,G97)</f>
        <v>9153.3711525303079</v>
      </c>
      <c r="H138" s="60">
        <f t="shared" ref="H138:K138" ca="1" si="64">SUM(H89,H92,H94,H96,H97)</f>
        <v>12793.647733843201</v>
      </c>
      <c r="I138" s="60">
        <f t="shared" ca="1" si="64"/>
        <v>13746.46349782389</v>
      </c>
      <c r="J138" s="60">
        <f t="shared" ca="1" si="64"/>
        <v>12514.118329599987</v>
      </c>
      <c r="K138" s="60">
        <f t="shared" ca="1" si="64"/>
        <v>10230.182107663746</v>
      </c>
      <c r="M138" t="s">
        <v>118</v>
      </c>
    </row>
    <row r="139" spans="2:17">
      <c r="C139" s="36" t="s">
        <v>119</v>
      </c>
      <c r="G139" s="30">
        <f ca="1">SUM(G136:G138)</f>
        <v>11089.371152530308</v>
      </c>
      <c r="H139" s="30">
        <f t="shared" ref="H139:K139" ca="1" si="65">SUM(H136:H138)</f>
        <v>23373.018886369362</v>
      </c>
      <c r="I139" s="30">
        <f t="shared" ca="1" si="65"/>
        <v>37119.482384184987</v>
      </c>
      <c r="J139" s="30">
        <f t="shared" ca="1" si="65"/>
        <v>49633.600713760148</v>
      </c>
      <c r="K139" s="30">
        <f t="shared" ca="1" si="65"/>
        <v>59863.782821349392</v>
      </c>
    </row>
    <row r="141" spans="2:17">
      <c r="C141" s="17" t="s">
        <v>120</v>
      </c>
    </row>
    <row r="142" spans="2:17">
      <c r="C142" s="21" t="s">
        <v>88</v>
      </c>
      <c r="G142" s="60">
        <f>F145</f>
        <v>560</v>
      </c>
      <c r="H142" s="60">
        <f t="shared" ref="H142:K142" ca="1" si="66">G145</f>
        <v>50</v>
      </c>
      <c r="I142" s="60">
        <f t="shared" ca="1" si="66"/>
        <v>50</v>
      </c>
      <c r="J142" s="60">
        <f t="shared" ca="1" si="66"/>
        <v>50</v>
      </c>
      <c r="K142" s="60">
        <f t="shared" ca="1" si="66"/>
        <v>50</v>
      </c>
      <c r="M142" t="s">
        <v>89</v>
      </c>
    </row>
    <row r="143" spans="2:17">
      <c r="C143" s="32" t="s">
        <v>121</v>
      </c>
      <c r="G143" s="60">
        <f ca="1">-MIN(G139,G142)</f>
        <v>-560</v>
      </c>
      <c r="H143" s="60">
        <f t="shared" ref="H143:K143" ca="1" si="67">-MIN(H139,H142)</f>
        <v>-50</v>
      </c>
      <c r="I143" s="60">
        <f t="shared" ca="1" si="67"/>
        <v>-50</v>
      </c>
      <c r="J143" s="60">
        <f t="shared" ca="1" si="67"/>
        <v>-50</v>
      </c>
      <c r="K143" s="60">
        <f t="shared" ca="1" si="67"/>
        <v>-50</v>
      </c>
      <c r="M143" t="s">
        <v>122</v>
      </c>
    </row>
    <row r="144" spans="2:17">
      <c r="C144" s="69" t="s">
        <v>123</v>
      </c>
      <c r="D144" s="67"/>
      <c r="E144" s="67"/>
      <c r="F144" s="67"/>
      <c r="G144" s="63">
        <v>50</v>
      </c>
      <c r="H144" s="63">
        <v>50</v>
      </c>
      <c r="I144" s="63">
        <v>50</v>
      </c>
      <c r="J144" s="63">
        <v>50</v>
      </c>
      <c r="K144" s="63">
        <v>50</v>
      </c>
      <c r="M144" t="s">
        <v>192</v>
      </c>
    </row>
    <row r="145" spans="2:19">
      <c r="C145" s="21" t="s">
        <v>93</v>
      </c>
      <c r="D145" s="68"/>
      <c r="E145" s="68">
        <f>E62</f>
        <v>431</v>
      </c>
      <c r="F145" s="68">
        <f>F62</f>
        <v>560</v>
      </c>
      <c r="G145" s="100">
        <f ca="1">SUM(G142:G144)</f>
        <v>50</v>
      </c>
      <c r="H145" s="100">
        <f t="shared" ref="H145:K145" ca="1" si="68">SUM(H142:H144)</f>
        <v>50</v>
      </c>
      <c r="I145" s="100">
        <f t="shared" ca="1" si="68"/>
        <v>50</v>
      </c>
      <c r="J145" s="100">
        <f t="shared" ca="1" si="68"/>
        <v>50</v>
      </c>
      <c r="K145" s="100">
        <f t="shared" ca="1" si="68"/>
        <v>50</v>
      </c>
    </row>
    <row r="146" spans="2:19">
      <c r="C146" s="81" t="s">
        <v>124</v>
      </c>
      <c r="D146" s="86"/>
      <c r="E146" s="86"/>
      <c r="F146" s="87"/>
      <c r="G146" s="82" t="str">
        <f ca="1">IF(G145&lt;0,"Negative Debt","OK")</f>
        <v>OK</v>
      </c>
      <c r="H146" s="82" t="str">
        <f ca="1">IF(H145&lt;0,"Negative Debt","OK")</f>
        <v>OK</v>
      </c>
      <c r="I146" s="82" t="str">
        <f ca="1">IF(I145&lt;0,"Negative Debt","OK")</f>
        <v>OK</v>
      </c>
      <c r="J146" s="82" t="str">
        <f ca="1">IF(J145&lt;0,"Negative Debt","OK")</f>
        <v>OK</v>
      </c>
      <c r="K146" s="83" t="str">
        <f ca="1">IF(K145&lt;0,"Negative Debt","OK")</f>
        <v>OK</v>
      </c>
      <c r="S146" s="35"/>
    </row>
    <row r="147" spans="2:19">
      <c r="D147" s="19"/>
      <c r="E147" s="19"/>
      <c r="F147" s="84"/>
      <c r="G147" s="85"/>
      <c r="H147" s="85"/>
      <c r="I147" s="85"/>
      <c r="J147" s="85"/>
      <c r="K147" s="85"/>
      <c r="S147" s="35"/>
    </row>
    <row r="148" spans="2:19">
      <c r="B148" t="s">
        <v>172</v>
      </c>
      <c r="C148" s="6" t="s">
        <v>125</v>
      </c>
      <c r="D148" s="33"/>
      <c r="E148" s="33"/>
      <c r="F148" s="33"/>
      <c r="G148" s="34"/>
      <c r="H148" s="34"/>
      <c r="I148" s="34"/>
      <c r="J148" s="34"/>
      <c r="K148" s="34"/>
      <c r="R148" s="66"/>
    </row>
    <row r="149" spans="2:19">
      <c r="C149" s="27" t="str">
        <f>C15</f>
        <v xml:space="preserve">Fiscal year  </v>
      </c>
      <c r="D149" s="24">
        <f>E149-1</f>
        <v>2023</v>
      </c>
      <c r="E149" s="24">
        <f>F149-1</f>
        <v>2024</v>
      </c>
      <c r="F149" s="24">
        <v>2025</v>
      </c>
      <c r="G149" s="25">
        <v>2026</v>
      </c>
      <c r="H149" s="25">
        <f>G149+1</f>
        <v>2027</v>
      </c>
      <c r="I149" s="25">
        <f>H149+1</f>
        <v>2028</v>
      </c>
      <c r="J149" s="25">
        <f>I149+1</f>
        <v>2029</v>
      </c>
      <c r="K149" s="25">
        <f>J149+1</f>
        <v>2030</v>
      </c>
      <c r="R149" s="66"/>
      <c r="S149" s="35"/>
    </row>
    <row r="150" spans="2:19">
      <c r="C150" s="8" t="str">
        <f>C16</f>
        <v>Fiscal year end date</v>
      </c>
      <c r="D150" s="26">
        <f>DATE(2024,8,29)-364</f>
        <v>45169</v>
      </c>
      <c r="E150" s="26">
        <f>DATE(2025,8,28)-364</f>
        <v>45533</v>
      </c>
      <c r="F150" s="26">
        <f>D10</f>
        <v>45897</v>
      </c>
      <c r="G150" s="26">
        <f>DATE(2025,8,28)+364</f>
        <v>46261</v>
      </c>
      <c r="H150" s="26">
        <f>DATE(2026,8,27)+364</f>
        <v>46625</v>
      </c>
      <c r="I150" s="26">
        <f>DATE(2027,8,26)+371</f>
        <v>46996</v>
      </c>
      <c r="J150" s="26">
        <f>DATE(2028,8,31)+364</f>
        <v>47360</v>
      </c>
      <c r="K150" s="26">
        <f>DATE(2029,8,30)+364</f>
        <v>47724</v>
      </c>
      <c r="R150" s="66"/>
    </row>
    <row r="151" spans="2:19">
      <c r="C151" s="21"/>
      <c r="D151" s="19"/>
      <c r="E151" s="19"/>
      <c r="F151" s="19"/>
      <c r="G151" s="88"/>
      <c r="H151" s="88"/>
      <c r="I151" s="88"/>
      <c r="J151" s="88"/>
      <c r="K151" s="88"/>
      <c r="R151" s="66"/>
    </row>
    <row r="152" spans="2:19">
      <c r="C152" s="29" t="s">
        <v>185</v>
      </c>
      <c r="D152" s="19">
        <f>-(D27)</f>
        <v>388</v>
      </c>
      <c r="E152" s="19">
        <f>-(E27)</f>
        <v>562</v>
      </c>
      <c r="F152" s="19">
        <f>-(F27)</f>
        <v>477</v>
      </c>
      <c r="G152" s="60">
        <f ca="1">G157+G164</f>
        <v>430.14249999999993</v>
      </c>
      <c r="H152" s="60">
        <f ca="1">H157+H164</f>
        <v>417.39249999999993</v>
      </c>
      <c r="I152" s="60">
        <f ca="1">I157+I164</f>
        <v>417.39249999999993</v>
      </c>
      <c r="J152" s="60">
        <f ca="1">J157+J164</f>
        <v>417.39249999999993</v>
      </c>
      <c r="K152" s="60">
        <f ca="1">K157+K164</f>
        <v>417.39249999999993</v>
      </c>
      <c r="M152" t="s">
        <v>126</v>
      </c>
      <c r="R152" s="35"/>
    </row>
    <row r="153" spans="2:19">
      <c r="C153" s="40"/>
      <c r="R153" s="35"/>
    </row>
    <row r="154" spans="2:19">
      <c r="C154" s="62" t="s">
        <v>127</v>
      </c>
      <c r="R154" s="35"/>
    </row>
    <row r="155" spans="2:19">
      <c r="C155" s="21" t="s">
        <v>128</v>
      </c>
      <c r="E155" s="38">
        <v>0.05</v>
      </c>
      <c r="F155" s="38">
        <v>0.05</v>
      </c>
      <c r="G155" s="38">
        <v>0.05</v>
      </c>
      <c r="H155" s="38">
        <v>0.05</v>
      </c>
      <c r="I155" s="38">
        <v>0.05</v>
      </c>
      <c r="J155" s="38">
        <v>0.05</v>
      </c>
      <c r="K155" s="38">
        <v>0.05</v>
      </c>
      <c r="M155" t="s">
        <v>177</v>
      </c>
    </row>
    <row r="156" spans="2:19">
      <c r="C156" s="21" t="s">
        <v>129</v>
      </c>
      <c r="D156" s="68"/>
      <c r="E156" s="68">
        <f t="shared" ref="E156:K156" si="69">E62</f>
        <v>431</v>
      </c>
      <c r="F156" s="68">
        <f t="shared" si="69"/>
        <v>560</v>
      </c>
      <c r="G156" s="60">
        <f t="shared" ca="1" si="69"/>
        <v>50</v>
      </c>
      <c r="H156" s="60">
        <f t="shared" ca="1" si="69"/>
        <v>50</v>
      </c>
      <c r="I156" s="60">
        <f t="shared" ca="1" si="69"/>
        <v>50</v>
      </c>
      <c r="J156" s="60">
        <f t="shared" ca="1" si="69"/>
        <v>50</v>
      </c>
      <c r="K156" s="60">
        <f t="shared" ca="1" si="69"/>
        <v>50</v>
      </c>
      <c r="M156" t="s">
        <v>130</v>
      </c>
    </row>
    <row r="157" spans="2:19">
      <c r="C157" s="101" t="s">
        <v>131</v>
      </c>
      <c r="D157" s="19"/>
      <c r="E157" s="30">
        <f>IF($D$7=1,AVERAGE(D156:E156)*E155,0)</f>
        <v>21.55</v>
      </c>
      <c r="F157" s="30">
        <f t="shared" ref="F157:K157" si="70">IF($D$7=1,AVERAGE(E156:F156)*F155,0)</f>
        <v>24.775000000000002</v>
      </c>
      <c r="G157" s="30">
        <f t="shared" ca="1" si="70"/>
        <v>15.25</v>
      </c>
      <c r="H157" s="30">
        <f ca="1">IF($D$7=1,AVERAGE(G156:H156)*H155,0)</f>
        <v>2.5</v>
      </c>
      <c r="I157" s="30">
        <f t="shared" ca="1" si="70"/>
        <v>2.5</v>
      </c>
      <c r="J157" s="30">
        <f t="shared" ca="1" si="70"/>
        <v>2.5</v>
      </c>
      <c r="K157" s="30">
        <f t="shared" ca="1" si="70"/>
        <v>2.5</v>
      </c>
      <c r="M157" t="s">
        <v>132</v>
      </c>
    </row>
    <row r="158" spans="2:19">
      <c r="C158" s="50"/>
      <c r="D158" s="19"/>
      <c r="E158" s="19"/>
      <c r="F158" s="19"/>
    </row>
    <row r="159" spans="2:19">
      <c r="C159" s="62" t="s">
        <v>80</v>
      </c>
      <c r="D159" s="19"/>
      <c r="E159" s="19"/>
      <c r="F159" s="19"/>
    </row>
    <row r="160" spans="2:19">
      <c r="C160" s="21" t="s">
        <v>189</v>
      </c>
      <c r="D160" s="19"/>
      <c r="E160" s="19"/>
      <c r="F160" s="19"/>
      <c r="G160" s="19">
        <f>AVERAGE(F63:G63)</f>
        <v>14017</v>
      </c>
      <c r="H160" s="19">
        <f>AVERAGE(G63:H63)</f>
        <v>14017</v>
      </c>
      <c r="I160" s="19">
        <f>AVERAGE(H63:I63)</f>
        <v>14017</v>
      </c>
      <c r="J160" s="19">
        <f>AVERAGE(I63:J63)</f>
        <v>14017</v>
      </c>
      <c r="K160" s="19">
        <f>AVERAGE(J63:K63)</f>
        <v>14017</v>
      </c>
      <c r="M160" t="s">
        <v>133</v>
      </c>
    </row>
    <row r="161" spans="2:18">
      <c r="C161" s="21" t="s">
        <v>128</v>
      </c>
      <c r="E161" s="61"/>
      <c r="F161" s="61"/>
      <c r="G161" s="169">
        <v>5.2499999999999998E-2</v>
      </c>
      <c r="H161" s="169">
        <v>5.2499999999999998E-2</v>
      </c>
      <c r="I161" s="169">
        <v>5.2499999999999998E-2</v>
      </c>
      <c r="J161" s="169">
        <v>5.2499999999999998E-2</v>
      </c>
      <c r="K161" s="169">
        <v>5.2499999999999998E-2</v>
      </c>
      <c r="M161" t="s">
        <v>194</v>
      </c>
      <c r="R161" s="66"/>
    </row>
    <row r="162" spans="2:18">
      <c r="C162" s="21" t="s">
        <v>187</v>
      </c>
      <c r="E162" s="19"/>
      <c r="F162" s="19"/>
      <c r="G162" s="60">
        <f t="shared" ref="G162:K162" si="71">IF($D$7=1,G161*G160,0)</f>
        <v>735.89249999999993</v>
      </c>
      <c r="H162" s="60">
        <f t="shared" si="71"/>
        <v>735.89249999999993</v>
      </c>
      <c r="I162" s="60">
        <f t="shared" si="71"/>
        <v>735.89249999999993</v>
      </c>
      <c r="J162" s="60">
        <f t="shared" si="71"/>
        <v>735.89249999999993</v>
      </c>
      <c r="K162" s="60">
        <f t="shared" si="71"/>
        <v>735.89249999999993</v>
      </c>
      <c r="M162" t="s">
        <v>190</v>
      </c>
      <c r="R162" s="66"/>
    </row>
    <row r="163" spans="2:18">
      <c r="C163" s="21" t="s">
        <v>186</v>
      </c>
      <c r="E163" s="63"/>
      <c r="F163" s="63"/>
      <c r="G163" s="63">
        <v>321</v>
      </c>
      <c r="H163" s="63">
        <v>321</v>
      </c>
      <c r="I163" s="63">
        <v>321</v>
      </c>
      <c r="J163" s="63">
        <v>321</v>
      </c>
      <c r="K163" s="63">
        <v>321</v>
      </c>
      <c r="R163" s="66"/>
    </row>
    <row r="164" spans="2:18">
      <c r="C164" s="36" t="s">
        <v>134</v>
      </c>
      <c r="D164" s="30"/>
      <c r="E164" s="30">
        <f>E152-E157</f>
        <v>540.45000000000005</v>
      </c>
      <c r="F164" s="30">
        <f>F152-F157</f>
        <v>452.22500000000002</v>
      </c>
      <c r="G164" s="30">
        <f t="shared" ref="G164:K164" si="72">G162-G163</f>
        <v>414.89249999999993</v>
      </c>
      <c r="H164" s="30">
        <f t="shared" si="72"/>
        <v>414.89249999999993</v>
      </c>
      <c r="I164" s="30">
        <f t="shared" si="72"/>
        <v>414.89249999999993</v>
      </c>
      <c r="J164" s="30">
        <f t="shared" si="72"/>
        <v>414.89249999999993</v>
      </c>
      <c r="K164" s="30">
        <f t="shared" si="72"/>
        <v>414.89249999999993</v>
      </c>
      <c r="M164" t="s">
        <v>135</v>
      </c>
    </row>
    <row r="165" spans="2:18">
      <c r="E165" s="19"/>
    </row>
    <row r="166" spans="2:18">
      <c r="C166" s="40" t="s">
        <v>136</v>
      </c>
      <c r="E166" s="19"/>
      <c r="F166" s="19"/>
    </row>
    <row r="167" spans="2:18">
      <c r="C167" s="21" t="s">
        <v>188</v>
      </c>
      <c r="E167" s="19"/>
      <c r="F167" s="19"/>
      <c r="G167" s="60">
        <f ca="1">AVERAGE(F48:G48)</f>
        <v>16257.68557626308</v>
      </c>
      <c r="H167" s="60">
        <f ca="1">AVERAGE(G48:H48)</f>
        <v>26976.195019443629</v>
      </c>
      <c r="I167" s="60">
        <f ca="1">AVERAGE(H48:I48)</f>
        <v>40246.250635260629</v>
      </c>
      <c r="J167" s="60">
        <f ca="1">AVERAGE(I48:J48)</f>
        <v>53376.541548922905</v>
      </c>
      <c r="K167" s="60">
        <f ca="1">AVERAGE(J48:K48)</f>
        <v>64748.691767405762</v>
      </c>
    </row>
    <row r="168" spans="2:18">
      <c r="C168" s="21" t="s">
        <v>137</v>
      </c>
      <c r="D168" s="37"/>
      <c r="E168" s="37"/>
      <c r="F168" s="37"/>
      <c r="G168" s="37">
        <v>0.04</v>
      </c>
      <c r="H168" s="37">
        <v>0.04</v>
      </c>
      <c r="I168" s="37">
        <v>0.04</v>
      </c>
      <c r="J168" s="37">
        <v>0.04</v>
      </c>
      <c r="K168" s="37">
        <v>0.04</v>
      </c>
      <c r="M168" t="s">
        <v>178</v>
      </c>
    </row>
    <row r="169" spans="2:18">
      <c r="C169" s="21" t="s">
        <v>22</v>
      </c>
      <c r="D169" s="19">
        <f>D26</f>
        <v>468</v>
      </c>
      <c r="E169" s="19">
        <f>E26</f>
        <v>529</v>
      </c>
      <c r="F169" s="19">
        <f>F26</f>
        <v>496</v>
      </c>
      <c r="G169" s="19">
        <f ca="1">IF($D$7=1,G168*G167,0)</f>
        <v>650.3074230505232</v>
      </c>
      <c r="H169" s="19">
        <f ca="1">IF($D$7=1,H168*G48,0)</f>
        <v>823.17484610104646</v>
      </c>
      <c r="I169" s="19">
        <f ca="1">IF($D$7=1,I168*H48,0)</f>
        <v>1334.9207554544439</v>
      </c>
      <c r="J169" s="19">
        <f ca="1">IF($D$7=1,J168*I48,0)</f>
        <v>1884.7792953664066</v>
      </c>
      <c r="K169" s="19">
        <f ca="1">IF($D$7=1,K168*J48,0)</f>
        <v>2385.3440285474258</v>
      </c>
      <c r="M169" t="s">
        <v>138</v>
      </c>
    </row>
    <row r="171" spans="2:18">
      <c r="B171" t="s">
        <v>172</v>
      </c>
      <c r="C171" s="6" t="s">
        <v>152</v>
      </c>
      <c r="D171" s="6"/>
      <c r="E171" s="6"/>
      <c r="F171" s="6"/>
      <c r="G171" s="6"/>
      <c r="H171" s="6"/>
      <c r="I171" s="6"/>
      <c r="J171" s="6"/>
      <c r="K171" s="6"/>
      <c r="R171" t="s">
        <v>202</v>
      </c>
    </row>
    <row r="172" spans="2:18">
      <c r="C172" s="27" t="str">
        <f t="shared" ref="C172:K172" si="73">C15</f>
        <v xml:space="preserve">Fiscal year  </v>
      </c>
      <c r="D172" s="24">
        <f t="shared" si="73"/>
        <v>2023</v>
      </c>
      <c r="E172" s="24">
        <f t="shared" si="73"/>
        <v>2024</v>
      </c>
      <c r="F172" s="24">
        <f t="shared" si="73"/>
        <v>2025</v>
      </c>
      <c r="G172" s="25">
        <f t="shared" si="73"/>
        <v>2026</v>
      </c>
      <c r="H172" s="25">
        <f t="shared" si="73"/>
        <v>2027</v>
      </c>
      <c r="I172" s="25">
        <f t="shared" si="73"/>
        <v>2028</v>
      </c>
      <c r="J172" s="25">
        <f t="shared" si="73"/>
        <v>2029</v>
      </c>
      <c r="K172" s="25">
        <f t="shared" si="73"/>
        <v>2030</v>
      </c>
    </row>
    <row r="173" spans="2:18">
      <c r="C173" s="8" t="str">
        <f t="shared" ref="C173:K173" si="74">C16</f>
        <v>Fiscal year end date</v>
      </c>
      <c r="D173" s="26">
        <f t="shared" si="74"/>
        <v>45169</v>
      </c>
      <c r="E173" s="26">
        <f t="shared" si="74"/>
        <v>45533</v>
      </c>
      <c r="F173" s="26">
        <f t="shared" si="74"/>
        <v>45897</v>
      </c>
      <c r="G173" s="26">
        <f t="shared" si="74"/>
        <v>46261</v>
      </c>
      <c r="H173" s="26">
        <f t="shared" si="74"/>
        <v>46625</v>
      </c>
      <c r="I173" s="26">
        <f t="shared" si="74"/>
        <v>46996</v>
      </c>
      <c r="J173" s="26">
        <f t="shared" si="74"/>
        <v>47360</v>
      </c>
      <c r="K173" s="26">
        <f t="shared" si="74"/>
        <v>47724</v>
      </c>
    </row>
    <row r="174" spans="2:18">
      <c r="G174" s="23"/>
      <c r="H174" s="23"/>
      <c r="I174" s="23"/>
      <c r="J174" s="22"/>
      <c r="K174" s="22"/>
    </row>
    <row r="175" spans="2:18">
      <c r="C175" t="s">
        <v>32</v>
      </c>
      <c r="D175" s="60">
        <f t="shared" ref="D175:K175" si="75">D31</f>
        <v>-5835</v>
      </c>
      <c r="E175" s="60">
        <f t="shared" si="75"/>
        <v>789</v>
      </c>
      <c r="F175" s="60">
        <f t="shared" si="75"/>
        <v>8530</v>
      </c>
      <c r="G175" s="60">
        <f t="shared" ca="1" si="75"/>
        <v>18425.856718202835</v>
      </c>
      <c r="H175" s="60">
        <f t="shared" ca="1" si="75"/>
        <v>19327.244430176906</v>
      </c>
      <c r="I175" s="60">
        <f t="shared" ca="1" si="75"/>
        <v>18024.990876280906</v>
      </c>
      <c r="J175" s="60">
        <f t="shared" ca="1" si="75"/>
        <v>15552.611807732719</v>
      </c>
      <c r="K175" s="60">
        <f t="shared" ca="1" si="75"/>
        <v>12615.685545326112</v>
      </c>
      <c r="M175" t="s">
        <v>153</v>
      </c>
    </row>
    <row r="176" spans="2:18">
      <c r="C176" t="s">
        <v>154</v>
      </c>
      <c r="D176" s="59">
        <v>1093</v>
      </c>
      <c r="E176" s="59">
        <v>1105</v>
      </c>
      <c r="F176" s="59">
        <v>1116</v>
      </c>
      <c r="G176" s="60">
        <f ca="1">F176-(G182+G183)/G185</f>
        <v>1119.0853109307129</v>
      </c>
      <c r="H176" s="60">
        <f ca="1">G176-(H182+H183)/H185</f>
        <v>1123.3164341485449</v>
      </c>
      <c r="I176" s="60">
        <f ca="1">H176-(I182+I183)/I185</f>
        <v>1128.4415580784066</v>
      </c>
      <c r="J176" s="60">
        <f ca="1">I176-(J182+J183)/J185</f>
        <v>1134.8247838707691</v>
      </c>
      <c r="K176" s="60">
        <f ca="1">J176-(K182+K183)/K185</f>
        <v>1143.2682189402224</v>
      </c>
      <c r="M176" t="s">
        <v>155</v>
      </c>
    </row>
    <row r="177" spans="2:13">
      <c r="C177" s="17" t="s">
        <v>156</v>
      </c>
      <c r="D177" s="123">
        <f>D175/D176</f>
        <v>-5.3385178408051237</v>
      </c>
      <c r="E177" s="123">
        <f t="shared" ref="E177:K177" si="76">E175/E176</f>
        <v>0.71402714932126699</v>
      </c>
      <c r="F177" s="123">
        <f>F175/F176</f>
        <v>7.6433691756272397</v>
      </c>
      <c r="G177" s="123">
        <f ca="1">G175/G176</f>
        <v>16.465104615552992</v>
      </c>
      <c r="H177" s="123">
        <f t="shared" ca="1" si="76"/>
        <v>17.20552094016735</v>
      </c>
      <c r="I177" s="123">
        <f t="shared" ca="1" si="76"/>
        <v>15.973349038097451</v>
      </c>
      <c r="J177" s="123">
        <f t="shared" ca="1" si="76"/>
        <v>13.7048573742674</v>
      </c>
      <c r="K177" s="123">
        <f t="shared" ca="1" si="76"/>
        <v>11.034755743512664</v>
      </c>
      <c r="M177" t="s">
        <v>157</v>
      </c>
    </row>
    <row r="178" spans="2:13">
      <c r="D178" s="4"/>
      <c r="E178" s="4"/>
      <c r="F178" s="4"/>
      <c r="G178" s="19"/>
    </row>
    <row r="179" spans="2:13">
      <c r="C179" t="s">
        <v>158</v>
      </c>
      <c r="D179" s="59">
        <f>D176</f>
        <v>1093</v>
      </c>
      <c r="E179" s="59">
        <f>E176+13</f>
        <v>1118</v>
      </c>
      <c r="F179" s="59">
        <f t="shared" ref="F179" si="77">F176+9</f>
        <v>1125</v>
      </c>
      <c r="G179" s="60">
        <f ca="1">(F179-F176)+G176</f>
        <v>1128.0853109307129</v>
      </c>
      <c r="H179" s="60">
        <f ca="1">(G179-G176)+H176</f>
        <v>1132.3164341485449</v>
      </c>
      <c r="I179" s="60">
        <f ca="1">(H179-H176)+I176</f>
        <v>1137.4415580784066</v>
      </c>
      <c r="J179" s="60">
        <f ca="1">(I179-I176)+J176</f>
        <v>1143.8247838707691</v>
      </c>
      <c r="K179" s="60">
        <f ca="1">(J179-J176)+K176</f>
        <v>1152.2682189402224</v>
      </c>
      <c r="M179" t="s">
        <v>159</v>
      </c>
    </row>
    <row r="180" spans="2:13">
      <c r="C180" s="17" t="s">
        <v>160</v>
      </c>
      <c r="D180" s="123">
        <f t="shared" ref="D180:K180" si="78">D175/D179</f>
        <v>-5.3385178408051237</v>
      </c>
      <c r="E180" s="123">
        <f t="shared" si="78"/>
        <v>0.70572450805008946</v>
      </c>
      <c r="F180" s="123">
        <f>F175/F179</f>
        <v>7.5822222222222226</v>
      </c>
      <c r="G180" s="123">
        <f ca="1">G175/G179</f>
        <v>16.333744034837938</v>
      </c>
      <c r="H180" s="123">
        <f t="shared" ca="1" si="78"/>
        <v>17.068766156971126</v>
      </c>
      <c r="I180" s="123">
        <f t="shared" ca="1" si="78"/>
        <v>15.84696000270319</v>
      </c>
      <c r="J180" s="123">
        <f t="shared" ca="1" si="78"/>
        <v>13.597022924351911</v>
      </c>
      <c r="K180" s="123">
        <f t="shared" ca="1" si="78"/>
        <v>10.948566781551225</v>
      </c>
      <c r="M180" t="s">
        <v>161</v>
      </c>
    </row>
    <row r="181" spans="2:13">
      <c r="G181" s="121"/>
    </row>
    <row r="182" spans="2:13">
      <c r="C182" t="s">
        <v>162</v>
      </c>
      <c r="G182" s="60">
        <f>-(G128)</f>
        <v>306</v>
      </c>
      <c r="H182" s="60">
        <f>-(H128)</f>
        <v>306</v>
      </c>
      <c r="I182" s="60">
        <f>-(I128)</f>
        <v>306</v>
      </c>
      <c r="J182" s="60">
        <f>-(J128)</f>
        <v>306</v>
      </c>
      <c r="K182" s="60">
        <f>-(K128)</f>
        <v>306</v>
      </c>
      <c r="M182" t="s">
        <v>163</v>
      </c>
    </row>
    <row r="183" spans="2:13">
      <c r="C183" t="s">
        <v>164</v>
      </c>
      <c r="D183" s="150"/>
      <c r="G183" s="60">
        <f ca="1">-(G35)</f>
        <v>-1417.7234996346513</v>
      </c>
      <c r="H183" s="60">
        <f ca="1">-(H35)</f>
        <v>-1755.8185882365667</v>
      </c>
      <c r="I183" s="60">
        <f ca="1">-(I35)</f>
        <v>-1937.7048713490954</v>
      </c>
      <c r="J183" s="60">
        <f ca="1">-(J35)</f>
        <v>-2051.598833173643</v>
      </c>
      <c r="K183" s="60">
        <f ca="1">-(K35)</f>
        <v>-2168.5181628997393</v>
      </c>
      <c r="M183" t="s">
        <v>165</v>
      </c>
    </row>
    <row r="184" spans="2:13">
      <c r="C184" t="s">
        <v>204</v>
      </c>
      <c r="G184" s="151">
        <v>22</v>
      </c>
      <c r="H184" s="151">
        <v>20</v>
      </c>
      <c r="I184" s="151">
        <v>20</v>
      </c>
      <c r="J184" s="151">
        <v>20</v>
      </c>
      <c r="K184" s="151">
        <v>20</v>
      </c>
    </row>
    <row r="185" spans="2:13">
      <c r="C185" t="s">
        <v>215</v>
      </c>
      <c r="F185" s="121"/>
      <c r="G185" s="149">
        <f ca="1">G184*G175/F179</f>
        <v>360.32786471152212</v>
      </c>
      <c r="H185" s="149">
        <f t="shared" ref="H185:J185" ca="1" si="79">H184*H175/G179</f>
        <v>342.65572369223037</v>
      </c>
      <c r="I185" s="149">
        <f t="shared" ca="1" si="79"/>
        <v>318.3737395781057</v>
      </c>
      <c r="J185" s="149">
        <f t="shared" ca="1" si="79"/>
        <v>273.46656533294419</v>
      </c>
      <c r="K185" s="149">
        <f ca="1">K184*K175/J179</f>
        <v>220.58772852663506</v>
      </c>
      <c r="M185" t="s">
        <v>205</v>
      </c>
    </row>
    <row r="186" spans="2:13">
      <c r="H186" s="122"/>
      <c r="I186" s="122"/>
      <c r="J186" s="122"/>
      <c r="K186" s="122"/>
    </row>
    <row r="187" spans="2:13">
      <c r="C187" s="42"/>
      <c r="D187" s="61"/>
      <c r="E187" s="61"/>
      <c r="F187" s="61"/>
      <c r="G187" s="61"/>
      <c r="H187" s="61"/>
    </row>
    <row r="188" spans="2:13">
      <c r="B188" t="s">
        <v>172</v>
      </c>
      <c r="C188" s="6" t="s">
        <v>139</v>
      </c>
      <c r="D188" s="6"/>
      <c r="E188" s="6"/>
      <c r="F188" s="6"/>
      <c r="G188" s="6"/>
      <c r="H188" s="6"/>
      <c r="I188" s="6"/>
      <c r="J188" s="6"/>
      <c r="K188" s="6"/>
    </row>
    <row r="189" spans="2:13">
      <c r="C189" s="17"/>
    </row>
    <row r="190" spans="2:13" ht="15.75" thickBot="1">
      <c r="C190" s="45" t="s">
        <v>214</v>
      </c>
      <c r="D190" s="46"/>
      <c r="E190" s="46"/>
      <c r="F190" s="46"/>
      <c r="G190" s="46"/>
      <c r="H190" s="46"/>
      <c r="I190" s="46"/>
    </row>
    <row r="191" spans="2:13">
      <c r="D191" s="17"/>
      <c r="E191" s="126" t="s">
        <v>140</v>
      </c>
      <c r="F191" s="47"/>
      <c r="G191" s="47"/>
      <c r="H191" s="47"/>
      <c r="I191" s="47"/>
    </row>
    <row r="192" spans="2:13" ht="15.75" thickBot="1">
      <c r="D192" s="127">
        <f ca="1">G31</f>
        <v>18425.856718202835</v>
      </c>
      <c r="E192" s="128">
        <v>0.1</v>
      </c>
      <c r="F192" s="128">
        <v>0.2</v>
      </c>
      <c r="G192" s="128">
        <v>0.3</v>
      </c>
      <c r="H192" s="128">
        <v>0.4</v>
      </c>
      <c r="I192" s="128">
        <v>0.5</v>
      </c>
    </row>
    <row r="193" spans="3:9">
      <c r="C193" s="48"/>
      <c r="D193" s="129">
        <v>0.5</v>
      </c>
      <c r="E193" s="130">
        <f t="dataTable" ref="E193:I198" dt2D="1" dtr="1" r1="G39" r2="G40" ca="1"/>
        <v>13322.363434260138</v>
      </c>
      <c r="F193" s="130">
        <v>14536.755379971462</v>
      </c>
      <c r="G193" s="130">
        <v>15751.147325683702</v>
      </c>
      <c r="H193" s="130">
        <v>16965.539271395934</v>
      </c>
      <c r="I193" s="130">
        <v>18179.931217108169</v>
      </c>
    </row>
    <row r="194" spans="3:9">
      <c r="C194" s="125" t="s">
        <v>141</v>
      </c>
      <c r="D194" s="129">
        <v>0.45</v>
      </c>
      <c r="E194" s="130">
        <v>11578.632492676808</v>
      </c>
      <c r="F194" s="130">
        <v>12634.503443698366</v>
      </c>
      <c r="G194" s="130">
        <v>13690.374394721171</v>
      </c>
      <c r="H194" s="130">
        <v>14746.245345743977</v>
      </c>
      <c r="I194" s="130">
        <v>15802.116296766786</v>
      </c>
    </row>
    <row r="195" spans="3:9">
      <c r="C195" s="125" t="s">
        <v>142</v>
      </c>
      <c r="D195" s="129">
        <v>0.4</v>
      </c>
      <c r="E195" s="130">
        <v>9834.9015510928712</v>
      </c>
      <c r="F195" s="130">
        <v>10732.251507423216</v>
      </c>
      <c r="G195" s="130">
        <v>11629.601463756593</v>
      </c>
      <c r="H195" s="130">
        <v>12526.951420089968</v>
      </c>
      <c r="I195" s="130">
        <v>13424.301376423347</v>
      </c>
    </row>
    <row r="196" spans="3:9">
      <c r="C196" s="125" t="s">
        <v>143</v>
      </c>
      <c r="D196" s="129">
        <v>0.35</v>
      </c>
      <c r="E196" s="130">
        <v>8091.1706095089321</v>
      </c>
      <c r="F196" s="130">
        <v>8829.9995711532683</v>
      </c>
      <c r="G196" s="130">
        <v>9568.8285327972135</v>
      </c>
      <c r="H196" s="130">
        <v>10307.657494441159</v>
      </c>
      <c r="I196" s="130">
        <v>11046.486456085106</v>
      </c>
    </row>
    <row r="197" spans="3:9">
      <c r="D197" s="129">
        <v>0.3</v>
      </c>
      <c r="E197" s="130">
        <v>6347.439667924993</v>
      </c>
      <c r="F197" s="130">
        <v>6927.7476348790669</v>
      </c>
      <c r="G197" s="130">
        <v>7508.0556018335856</v>
      </c>
      <c r="H197" s="130">
        <v>8088.3635687881006</v>
      </c>
      <c r="I197" s="130">
        <v>8668.6715357426165</v>
      </c>
    </row>
    <row r="198" spans="3:9">
      <c r="D198" s="129">
        <v>0.25</v>
      </c>
      <c r="E198" s="130">
        <v>4603.7087263410558</v>
      </c>
      <c r="F198" s="130">
        <v>5025.2903913951086</v>
      </c>
      <c r="G198" s="130">
        <v>5445.5967920919029</v>
      </c>
      <c r="H198" s="130">
        <v>5865.9031927407741</v>
      </c>
      <c r="I198" s="130">
        <v>6286.2095933896435</v>
      </c>
    </row>
    <row r="199" spans="3:9">
      <c r="D199" s="152"/>
      <c r="E199" s="130"/>
      <c r="F199" s="130"/>
      <c r="G199" s="130"/>
      <c r="H199" s="130"/>
      <c r="I199" s="130"/>
    </row>
    <row r="200" spans="3:9" ht="15.75" thickBot="1">
      <c r="C200" s="45" t="s">
        <v>225</v>
      </c>
      <c r="D200" s="45"/>
      <c r="E200" s="45"/>
      <c r="F200" s="45"/>
      <c r="G200" s="45"/>
      <c r="H200" s="45"/>
      <c r="I200" s="45"/>
    </row>
    <row r="201" spans="3:9">
      <c r="D201" s="152"/>
      <c r="E201" s="153" t="s">
        <v>213</v>
      </c>
      <c r="F201" s="154"/>
      <c r="G201" s="154"/>
      <c r="H201" s="154"/>
      <c r="I201" s="154"/>
    </row>
    <row r="202" spans="3:9" ht="15.75" thickBot="1">
      <c r="D202" s="155">
        <f ca="1">G180</f>
        <v>16.333744034837938</v>
      </c>
      <c r="E202" s="128">
        <v>0.1</v>
      </c>
      <c r="F202" s="128">
        <v>0.2</v>
      </c>
      <c r="G202" s="128">
        <v>0.3</v>
      </c>
      <c r="H202" s="128">
        <v>0.4</v>
      </c>
      <c r="I202" s="128">
        <v>0.5</v>
      </c>
    </row>
    <row r="203" spans="3:9">
      <c r="D203" s="129">
        <v>0.5</v>
      </c>
      <c r="E203" s="156">
        <f t="dataTable" ref="E203:I208" dt2D="1" dtr="1" r1="G39" r2="G40" ca="1"/>
        <v>11.811344554945919</v>
      </c>
      <c r="F203" s="156">
        <v>12.886889977106131</v>
      </c>
      <c r="G203" s="156">
        <v>13.962435561124153</v>
      </c>
      <c r="H203" s="156">
        <v>15.037981272213793</v>
      </c>
      <c r="I203" s="156">
        <v>16.113527084891238</v>
      </c>
    </row>
    <row r="204" spans="3:9">
      <c r="C204" s="125" t="s">
        <v>141</v>
      </c>
      <c r="D204" s="129">
        <v>0.45</v>
      </c>
      <c r="E204" s="156">
        <v>10.261373520927362</v>
      </c>
      <c r="F204" s="156">
        <v>11.196013367349025</v>
      </c>
      <c r="G204" s="156">
        <v>12.130653399381924</v>
      </c>
      <c r="H204" s="156">
        <v>13.065293577117156</v>
      </c>
      <c r="I204" s="156">
        <v>13.999933871322625</v>
      </c>
    </row>
    <row r="205" spans="3:9">
      <c r="C205" s="125" t="s">
        <v>142</v>
      </c>
      <c r="D205" s="129">
        <v>0.4</v>
      </c>
      <c r="E205" s="156">
        <v>8.7114067360512113</v>
      </c>
      <c r="F205" s="156">
        <v>9.5051417025602358</v>
      </c>
      <c r="G205" s="156">
        <v>10.298876886601487</v>
      </c>
      <c r="H205" s="156">
        <v>11.092612241373855</v>
      </c>
      <c r="I205" s="156">
        <v>11.886347732604793</v>
      </c>
    </row>
    <row r="206" spans="3:9">
      <c r="C206" s="125" t="s">
        <v>143</v>
      </c>
      <c r="D206" s="129">
        <v>0.35</v>
      </c>
      <c r="E206" s="156">
        <v>7.1614469357925241</v>
      </c>
      <c r="F206" s="156">
        <v>7.8142781645472352</v>
      </c>
      <c r="G206" s="156">
        <v>8.46710965599814</v>
      </c>
      <c r="H206" s="156">
        <v>9.1199413535825204</v>
      </c>
      <c r="I206" s="156">
        <v>9.7727732158884884</v>
      </c>
    </row>
    <row r="207" spans="3:9">
      <c r="D207" s="129">
        <v>0.3</v>
      </c>
      <c r="E207" s="156">
        <v>5.6114998451800142</v>
      </c>
      <c r="F207" s="156">
        <v>6.1234294101762909</v>
      </c>
      <c r="G207" s="156">
        <v>6.635359306677862</v>
      </c>
      <c r="H207" s="156">
        <v>7.1472894632121706</v>
      </c>
      <c r="I207" s="156">
        <v>7.6592198274753596</v>
      </c>
    </row>
    <row r="208" spans="3:9">
      <c r="D208" s="129">
        <v>0.25</v>
      </c>
      <c r="E208" s="156">
        <v>4.0615797981683013</v>
      </c>
      <c r="F208" s="156">
        <v>4.432429613131708</v>
      </c>
      <c r="G208" s="156">
        <v>4.8021463812405649</v>
      </c>
      <c r="H208" s="156">
        <v>5.1718635086836251</v>
      </c>
      <c r="I208" s="156">
        <v>5.5415809232629361</v>
      </c>
    </row>
    <row r="210" spans="2:16">
      <c r="B210" t="s">
        <v>172</v>
      </c>
      <c r="C210" s="6" t="s">
        <v>144</v>
      </c>
      <c r="D210" s="6"/>
      <c r="E210" s="6"/>
      <c r="F210" s="6"/>
      <c r="G210" s="6"/>
      <c r="H210" s="6"/>
      <c r="I210" s="6"/>
      <c r="J210" s="6"/>
      <c r="K210" s="6"/>
    </row>
    <row r="211" spans="2:16" ht="15.75" thickBot="1"/>
    <row r="212" spans="2:16" ht="15.75" thickBot="1">
      <c r="C212" t="s">
        <v>145</v>
      </c>
      <c r="D212" s="145" t="str">
        <f>D12</f>
        <v>Base Case</v>
      </c>
    </row>
    <row r="213" spans="2:16" ht="15.75" thickBot="1">
      <c r="D213" s="146"/>
    </row>
    <row r="214" spans="2:16">
      <c r="D214" s="24"/>
      <c r="E214" s="24"/>
      <c r="F214" s="107" t="s">
        <v>146</v>
      </c>
      <c r="G214" s="25">
        <f t="shared" ref="G214:K215" si="80">G15</f>
        <v>2026</v>
      </c>
      <c r="H214" s="25">
        <f t="shared" si="80"/>
        <v>2027</v>
      </c>
      <c r="I214" s="25">
        <f t="shared" si="80"/>
        <v>2028</v>
      </c>
      <c r="J214" s="25">
        <f t="shared" si="80"/>
        <v>2029</v>
      </c>
      <c r="K214" s="25">
        <f t="shared" si="80"/>
        <v>2030</v>
      </c>
    </row>
    <row r="215" spans="2:16">
      <c r="D215" s="26"/>
      <c r="E215" s="26"/>
      <c r="F215" s="102" t="s">
        <v>147</v>
      </c>
      <c r="G215" s="26">
        <f t="shared" si="80"/>
        <v>46261</v>
      </c>
      <c r="H215" s="26">
        <f t="shared" si="80"/>
        <v>46625</v>
      </c>
      <c r="I215" s="26">
        <f t="shared" si="80"/>
        <v>46996</v>
      </c>
      <c r="J215" s="26">
        <f t="shared" si="80"/>
        <v>47360</v>
      </c>
      <c r="K215" s="26">
        <f t="shared" si="80"/>
        <v>47724</v>
      </c>
    </row>
    <row r="216" spans="2:16">
      <c r="C216" s="135" t="s">
        <v>200</v>
      </c>
      <c r="D216" s="60"/>
      <c r="E216" s="60"/>
      <c r="F216" s="157" t="str">
        <f ca="1">OFFSET(F$224,MATCH($C216,$C$224:$C$248,0)+MATCH($D$212,$C$225:$C$228,0)-1,0)</f>
        <v>NM</v>
      </c>
      <c r="G216" s="60">
        <f ca="1">OFFSET(G$224,MATCH($C216,$C$224:$C$248,0)+MATCH($D$212,$C$225:$C$228,0)-1,0)</f>
        <v>43135.793999999994</v>
      </c>
      <c r="H216" s="60">
        <f t="shared" ref="H216:K216" ca="1" si="81">OFFSET(H$224,MATCH($C216,$C$224:$C$248,0)+MATCH($D$212,$C$225:$C$228,0)-1,0)</f>
        <v>54001.700508599992</v>
      </c>
      <c r="I216" s="60">
        <f t="shared" ca="1" si="81"/>
        <v>59715.080422409876</v>
      </c>
      <c r="J216" s="60">
        <f t="shared" ca="1" si="81"/>
        <v>63309.928263838949</v>
      </c>
      <c r="K216" s="60">
        <f t="shared" ca="1" si="81"/>
        <v>67121.185945322053</v>
      </c>
      <c r="M216" s="120"/>
      <c r="N216" s="120"/>
      <c r="O216" s="120"/>
      <c r="P216" s="120"/>
    </row>
    <row r="217" spans="2:16">
      <c r="C217" s="135" t="s">
        <v>201</v>
      </c>
      <c r="D217" s="60"/>
      <c r="E217" s="60"/>
      <c r="F217" s="157" t="str">
        <f t="shared" ref="F217" ca="1" si="82">OFFSET(F$224,MATCH($C217,$C$224:$C$248,0)+MATCH($D$212,$C$225:$C$228,0)-1,0)</f>
        <v>NM</v>
      </c>
      <c r="G217" s="60">
        <f ca="1">OFFSET(G$224,MATCH($C217,$C$224:$C$248,0)+MATCH($D$212,$C$225:$C$228,0)-1,0)</f>
        <v>10949.7</v>
      </c>
      <c r="H217" s="60">
        <f ca="1">OFFSET(H$224,MATCH($C217,$C$224:$C$248,0)+MATCH($D$212,$C$225:$C$228,0)-1,0)</f>
        <v>12981.964320000003</v>
      </c>
      <c r="I217" s="60">
        <f ca="1">OFFSET(I$224,MATCH($C217,$C$224:$C$248,0)+MATCH($D$212,$C$225:$C$228,0)-1,0)</f>
        <v>14207.461751808003</v>
      </c>
      <c r="J217" s="60">
        <f ca="1">OFFSET(J$224,MATCH($C217,$C$224:$C$248,0)+MATCH($D$212,$C$225:$C$228,0)-1,0)</f>
        <v>14957.615732303466</v>
      </c>
      <c r="K217" s="60">
        <f ca="1">OFFSET(K$224,MATCH($C217,$C$224:$C$248,0)+MATCH($D$212,$C$225:$C$228,0)-1,0)</f>
        <v>15606.776255085439</v>
      </c>
      <c r="M217" s="120"/>
      <c r="N217" s="120"/>
      <c r="O217" s="120"/>
      <c r="P217" s="120"/>
    </row>
    <row r="218" spans="2:16">
      <c r="C218" s="135" t="s">
        <v>203</v>
      </c>
      <c r="D218" s="60"/>
      <c r="E218" s="60"/>
      <c r="F218" s="157" t="str">
        <f ca="1">IFERROR(OFFSET(F$225,MATCH($C218,$C$224:$C$248,0)+MATCH($D$212,$C$225:$C$228,0)-1,0),"N/A")</f>
        <v>N/A</v>
      </c>
      <c r="G218" s="60">
        <f ca="1">SUM(G216:G217)*1.008</f>
        <v>54518.177951999991</v>
      </c>
      <c r="H218" s="60">
        <f t="shared" ref="H218:K218" ca="1" si="83">SUM(H216:H217)*1.008</f>
        <v>67519.534147228798</v>
      </c>
      <c r="I218" s="60">
        <f t="shared" ca="1" si="83"/>
        <v>74513.922511611614</v>
      </c>
      <c r="J218" s="60">
        <f t="shared" ca="1" si="83"/>
        <v>78893.68434811155</v>
      </c>
      <c r="K218" s="60">
        <f t="shared" ca="1" si="83"/>
        <v>83389.785898010756</v>
      </c>
      <c r="M218" t="s">
        <v>223</v>
      </c>
      <c r="N218" s="120"/>
      <c r="O218" s="120"/>
      <c r="P218" s="120"/>
    </row>
    <row r="219" spans="2:16">
      <c r="C219" s="21" t="s">
        <v>140</v>
      </c>
      <c r="D219" s="21"/>
      <c r="E219" s="21"/>
      <c r="F219" s="131" t="str">
        <f ca="1">IFERROR(OFFSET(F$225,MATCH($C219,$C$224:$C$248,0)+MATCH($D$212,$C$225:$C$228,0)-1,0),"N/A")</f>
        <v>N/A</v>
      </c>
      <c r="G219" s="5">
        <f ca="1">(G218/F18)-1</f>
        <v>0.45856327122906504</v>
      </c>
      <c r="H219" s="5">
        <f ca="1">H218/G218-1</f>
        <v>0.23847745254208097</v>
      </c>
      <c r="I219" s="5">
        <f t="shared" ref="I219:K219" ca="1" si="84">I218/H218-1</f>
        <v>0.10359058978593216</v>
      </c>
      <c r="J219" s="5">
        <f t="shared" ca="1" si="84"/>
        <v>5.8777765132649318E-2</v>
      </c>
      <c r="K219" s="5">
        <f t="shared" ca="1" si="84"/>
        <v>5.6989372305906505E-2</v>
      </c>
      <c r="M219" s="120"/>
      <c r="N219" s="120"/>
      <c r="O219" s="120"/>
      <c r="P219" s="120"/>
    </row>
    <row r="220" spans="2:16">
      <c r="C220" s="21" t="s">
        <v>42</v>
      </c>
      <c r="F220" s="131" t="str">
        <f t="shared" ref="F220:K222" ca="1" si="85">OFFSET(F$224,MATCH($C220,$C$224:$C$248,0)+MATCH($D$212,$C$225:$C$228,0)-1,0)</f>
        <v>NM</v>
      </c>
      <c r="G220" s="5">
        <f t="shared" ca="1" si="85"/>
        <v>0.51619999999999999</v>
      </c>
      <c r="H220" s="5">
        <f t="shared" ca="1" si="85"/>
        <v>0.45619999999999999</v>
      </c>
      <c r="I220" s="5">
        <f t="shared" ca="1" si="85"/>
        <v>0.3962</v>
      </c>
      <c r="J220" s="5">
        <f t="shared" ca="1" si="85"/>
        <v>0.3362</v>
      </c>
      <c r="K220" s="5">
        <f t="shared" ca="1" si="85"/>
        <v>0.2762</v>
      </c>
      <c r="M220" s="120"/>
      <c r="N220" s="120"/>
      <c r="O220" s="120"/>
      <c r="P220" s="120"/>
    </row>
    <row r="221" spans="2:16">
      <c r="C221" s="21" t="s">
        <v>43</v>
      </c>
      <c r="F221" s="131" t="str">
        <f t="shared" ca="1" si="85"/>
        <v>NM</v>
      </c>
      <c r="G221" s="5">
        <f t="shared" ca="1" si="85"/>
        <v>8.7999999999999995E-2</v>
      </c>
      <c r="H221" s="5">
        <f t="shared" ca="1" si="85"/>
        <v>9.2399999999999996E-2</v>
      </c>
      <c r="I221" s="5">
        <f t="shared" ca="1" si="85"/>
        <v>9.1999999999999998E-2</v>
      </c>
      <c r="J221" s="5">
        <f t="shared" ca="1" si="85"/>
        <v>9.1999999999999998E-2</v>
      </c>
      <c r="K221" s="5">
        <f t="shared" ca="1" si="85"/>
        <v>9.1999999999999998E-2</v>
      </c>
      <c r="M221" s="120"/>
      <c r="N221" s="120"/>
      <c r="O221" s="120"/>
      <c r="P221" s="120"/>
    </row>
    <row r="222" spans="2:16">
      <c r="C222" s="21" t="s">
        <v>44</v>
      </c>
      <c r="F222" s="131" t="str">
        <f t="shared" ca="1" si="85"/>
        <v>NM</v>
      </c>
      <c r="G222" s="5">
        <f t="shared" ca="1" si="85"/>
        <v>2.5000000000000001E-2</v>
      </c>
      <c r="H222" s="5">
        <f t="shared" ca="1" si="85"/>
        <v>2.5000000000000001E-2</v>
      </c>
      <c r="I222" s="5">
        <f t="shared" ca="1" si="85"/>
        <v>2.5000000000000001E-2</v>
      </c>
      <c r="J222" s="5">
        <f t="shared" ca="1" si="85"/>
        <v>2.5000000000000001E-2</v>
      </c>
      <c r="K222" s="5">
        <f t="shared" ca="1" si="85"/>
        <v>2.5000000000000001E-2</v>
      </c>
      <c r="M222" s="120"/>
      <c r="N222" s="120"/>
      <c r="O222" s="120"/>
      <c r="P222" s="120"/>
    </row>
    <row r="223" spans="2:16">
      <c r="F223" s="103"/>
    </row>
    <row r="224" spans="2:16">
      <c r="C224" s="136" t="s">
        <v>200</v>
      </c>
      <c r="D224" s="95"/>
      <c r="E224" s="95"/>
      <c r="F224" s="147"/>
      <c r="G224" s="95"/>
      <c r="H224" s="95"/>
      <c r="I224" s="95"/>
      <c r="J224" s="95"/>
      <c r="K224" s="95"/>
    </row>
    <row r="225" spans="3:22">
      <c r="C225" s="137" t="s">
        <v>148</v>
      </c>
      <c r="D225" s="95"/>
      <c r="E225" s="95"/>
      <c r="F225" s="148">
        <v>1.1000000000000001</v>
      </c>
      <c r="G225" s="60">
        <f>G226*$F$225</f>
        <v>47449.373399999997</v>
      </c>
      <c r="H225" s="60">
        <f>H226*$F$225</f>
        <v>59401.870559459996</v>
      </c>
      <c r="I225" s="60">
        <f t="shared" ref="I225:K225" si="86">I226*$F$225</f>
        <v>65686.588464650864</v>
      </c>
      <c r="J225" s="60">
        <f t="shared" si="86"/>
        <v>69640.921090222851</v>
      </c>
      <c r="K225" s="60">
        <f t="shared" si="86"/>
        <v>73833.30453985426</v>
      </c>
      <c r="T225" s="35"/>
      <c r="U225" s="35"/>
      <c r="V225" s="35"/>
    </row>
    <row r="226" spans="3:22">
      <c r="C226" s="137" t="s">
        <v>149</v>
      </c>
      <c r="D226" s="95"/>
      <c r="E226" s="95"/>
      <c r="F226" s="138" t="s">
        <v>150</v>
      </c>
      <c r="G226" s="168">
        <f>'Revenue Build'!G8</f>
        <v>43135.793999999994</v>
      </c>
      <c r="H226" s="168">
        <f>'Revenue Build'!H8</f>
        <v>54001.700508599992</v>
      </c>
      <c r="I226" s="168">
        <f>'Revenue Build'!I8</f>
        <v>59715.080422409876</v>
      </c>
      <c r="J226" s="168">
        <f>'Revenue Build'!J8</f>
        <v>63309.928263838949</v>
      </c>
      <c r="K226" s="168">
        <f>'Revenue Build'!K8</f>
        <v>67121.185945322053</v>
      </c>
      <c r="L226" s="20" t="s">
        <v>211</v>
      </c>
      <c r="M226" t="s">
        <v>209</v>
      </c>
      <c r="O226" s="23"/>
      <c r="P226" s="23"/>
      <c r="Q226" s="23"/>
      <c r="R226" s="23"/>
      <c r="S226" s="23"/>
      <c r="T226" s="35"/>
      <c r="U226" s="35"/>
      <c r="V226" s="35"/>
    </row>
    <row r="227" spans="3:22">
      <c r="C227" s="137" t="s">
        <v>206</v>
      </c>
      <c r="D227" s="95"/>
      <c r="E227" s="95"/>
      <c r="F227" s="148" t="s">
        <v>208</v>
      </c>
      <c r="G227" s="59">
        <f>53685*L227</f>
        <v>42948</v>
      </c>
      <c r="H227" s="59">
        <f>57494*L227</f>
        <v>45995.200000000004</v>
      </c>
      <c r="I227" s="59">
        <f>57678*L227</f>
        <v>46142.400000000001</v>
      </c>
      <c r="J227" s="59">
        <f>59317*L227</f>
        <v>47453.600000000006</v>
      </c>
      <c r="K227" s="59">
        <f>60093*L227</f>
        <v>48074.400000000001</v>
      </c>
      <c r="L227" s="56">
        <v>0.8</v>
      </c>
      <c r="M227" t="s">
        <v>222</v>
      </c>
      <c r="O227" s="23"/>
      <c r="P227" s="23"/>
      <c r="Q227" s="23"/>
      <c r="R227" s="23"/>
      <c r="S227" s="23"/>
      <c r="T227" s="35"/>
      <c r="U227" s="35"/>
      <c r="V227" s="35"/>
    </row>
    <row r="228" spans="3:22">
      <c r="C228" s="137" t="s">
        <v>151</v>
      </c>
      <c r="D228" s="95"/>
      <c r="E228" s="95"/>
      <c r="F228" s="148">
        <v>0.75</v>
      </c>
      <c r="G228" s="60">
        <f>G226*$F$228</f>
        <v>32351.845499999996</v>
      </c>
      <c r="H228" s="60">
        <f>H226*$F$228</f>
        <v>40501.275381449996</v>
      </c>
      <c r="I228" s="60">
        <f t="shared" ref="I228:K228" si="87">I226*$F$228</f>
        <v>44786.310316807409</v>
      </c>
      <c r="J228" s="60">
        <f t="shared" si="87"/>
        <v>47482.44619787921</v>
      </c>
      <c r="K228" s="60">
        <f t="shared" si="87"/>
        <v>50340.889458991544</v>
      </c>
      <c r="O228" s="23"/>
      <c r="P228" s="23"/>
      <c r="Q228" s="23"/>
      <c r="R228" s="23"/>
      <c r="S228" s="23"/>
      <c r="T228" s="35"/>
      <c r="U228" s="35"/>
      <c r="V228" s="35"/>
    </row>
    <row r="229" spans="3:22">
      <c r="C229" s="139" t="s">
        <v>201</v>
      </c>
      <c r="D229" s="95"/>
      <c r="E229" s="95"/>
      <c r="F229" s="140"/>
      <c r="G229" s="92"/>
      <c r="H229" s="92"/>
      <c r="I229" s="92"/>
      <c r="J229" s="92"/>
      <c r="K229" s="92"/>
      <c r="O229" s="23"/>
      <c r="P229" s="23"/>
      <c r="Q229" s="23"/>
      <c r="R229" s="23"/>
      <c r="S229" s="23"/>
      <c r="T229" s="35"/>
      <c r="U229" s="35"/>
      <c r="V229" s="35"/>
    </row>
    <row r="230" spans="3:22">
      <c r="C230" s="137" t="s">
        <v>148</v>
      </c>
      <c r="D230" s="95"/>
      <c r="E230" s="95"/>
      <c r="F230" s="148">
        <v>1.1000000000000001</v>
      </c>
      <c r="G230" s="60">
        <f>G231*$F$230</f>
        <v>12044.670000000002</v>
      </c>
      <c r="H230" s="60">
        <f>H231*$F$230</f>
        <v>14280.160752000003</v>
      </c>
      <c r="I230" s="60">
        <f t="shared" ref="I230:K230" si="88">I231*$F$230</f>
        <v>15628.207926988805</v>
      </c>
      <c r="J230" s="60">
        <f t="shared" si="88"/>
        <v>16453.377305533813</v>
      </c>
      <c r="K230" s="60">
        <f t="shared" si="88"/>
        <v>17167.453880593985</v>
      </c>
      <c r="O230" s="23"/>
      <c r="P230" s="23"/>
      <c r="Q230" s="23"/>
      <c r="R230" s="23"/>
      <c r="S230" s="23"/>
    </row>
    <row r="231" spans="3:22">
      <c r="C231" s="137" t="s">
        <v>149</v>
      </c>
      <c r="D231" s="95"/>
      <c r="E231" s="95"/>
      <c r="F231" s="138" t="s">
        <v>150</v>
      </c>
      <c r="G231" s="168">
        <f>'Revenue Build'!G9</f>
        <v>10949.7</v>
      </c>
      <c r="H231" s="168">
        <f>'Revenue Build'!H9</f>
        <v>12981.964320000003</v>
      </c>
      <c r="I231" s="168">
        <f>'Revenue Build'!I9</f>
        <v>14207.461751808003</v>
      </c>
      <c r="J231" s="168">
        <f>'Revenue Build'!J9</f>
        <v>14957.615732303466</v>
      </c>
      <c r="K231" s="168">
        <f>'Revenue Build'!K9</f>
        <v>15606.776255085439</v>
      </c>
      <c r="L231" s="20" t="s">
        <v>211</v>
      </c>
      <c r="M231" t="s">
        <v>209</v>
      </c>
      <c r="O231" s="23"/>
      <c r="P231" s="23"/>
      <c r="Q231" s="23"/>
      <c r="R231" s="23"/>
      <c r="S231" s="23"/>
    </row>
    <row r="232" spans="3:22">
      <c r="C232" s="137" t="s">
        <v>206</v>
      </c>
      <c r="D232" s="95"/>
      <c r="E232" s="95"/>
      <c r="F232" s="148" t="s">
        <v>208</v>
      </c>
      <c r="G232" s="59">
        <f>53685*L232</f>
        <v>10737</v>
      </c>
      <c r="H232" s="59">
        <f>57494*L232</f>
        <v>11498.800000000001</v>
      </c>
      <c r="I232" s="59">
        <f>57678*L232</f>
        <v>11535.6</v>
      </c>
      <c r="J232" s="59">
        <f>59317*L232</f>
        <v>11863.400000000001</v>
      </c>
      <c r="K232" s="59">
        <f>60093*L232</f>
        <v>12018.6</v>
      </c>
      <c r="L232" s="56">
        <v>0.2</v>
      </c>
      <c r="M232" t="s">
        <v>221</v>
      </c>
      <c r="O232" s="23"/>
      <c r="P232" s="23"/>
      <c r="Q232" s="23"/>
      <c r="R232" s="23"/>
      <c r="S232" s="23"/>
    </row>
    <row r="233" spans="3:22">
      <c r="C233" s="137" t="s">
        <v>151</v>
      </c>
      <c r="D233" s="95"/>
      <c r="E233" s="95"/>
      <c r="F233" s="148">
        <v>0.75</v>
      </c>
      <c r="G233" s="60">
        <f>G231*$F$233</f>
        <v>8212.2750000000015</v>
      </c>
      <c r="H233" s="60">
        <f>H231*$F$233</f>
        <v>9736.473240000003</v>
      </c>
      <c r="I233" s="60">
        <f t="shared" ref="I233:K233" si="89">I231*$F$233</f>
        <v>10655.596313856002</v>
      </c>
      <c r="J233" s="60">
        <f t="shared" si="89"/>
        <v>11218.2117992276</v>
      </c>
      <c r="K233" s="60">
        <f t="shared" si="89"/>
        <v>11705.082191314079</v>
      </c>
      <c r="O233" s="23"/>
      <c r="P233" s="23"/>
      <c r="Q233" s="23"/>
      <c r="R233" s="23"/>
      <c r="S233" s="23"/>
    </row>
    <row r="234" spans="3:22">
      <c r="C234" s="36" t="s">
        <v>42</v>
      </c>
      <c r="F234" s="105"/>
      <c r="G234" s="23"/>
      <c r="H234" s="23"/>
      <c r="I234" s="23"/>
      <c r="J234" s="23"/>
      <c r="K234" s="23"/>
      <c r="O234" s="23"/>
      <c r="P234" s="23"/>
      <c r="Q234" s="23"/>
      <c r="R234" s="23"/>
      <c r="S234" s="23"/>
    </row>
    <row r="235" spans="3:22">
      <c r="C235" s="50" t="s">
        <v>148</v>
      </c>
      <c r="F235" s="104">
        <v>0.03</v>
      </c>
      <c r="G235" s="22">
        <f>G236+$F$235</f>
        <v>0.54620000000000002</v>
      </c>
      <c r="H235" s="22">
        <f t="shared" ref="H235:K235" si="90">H236+$F$235</f>
        <v>0.48619999999999997</v>
      </c>
      <c r="I235" s="22">
        <f t="shared" si="90"/>
        <v>0.42620000000000002</v>
      </c>
      <c r="J235" s="22">
        <f t="shared" si="90"/>
        <v>0.36619999999999997</v>
      </c>
      <c r="K235" s="22">
        <f t="shared" si="90"/>
        <v>0.30620000000000003</v>
      </c>
      <c r="L235" s="20" t="s">
        <v>95</v>
      </c>
    </row>
    <row r="236" spans="3:22">
      <c r="C236" s="50" t="s">
        <v>149</v>
      </c>
      <c r="F236" s="105" t="s">
        <v>150</v>
      </c>
      <c r="G236" s="23">
        <v>0.51619999999999999</v>
      </c>
      <c r="H236" s="23">
        <f>G236-$L$236</f>
        <v>0.45619999999999999</v>
      </c>
      <c r="I236" s="23">
        <f t="shared" ref="I236:K236" si="91">H236-$L$236</f>
        <v>0.3962</v>
      </c>
      <c r="J236" s="23">
        <f t="shared" si="91"/>
        <v>0.3362</v>
      </c>
      <c r="K236" s="23">
        <f t="shared" si="91"/>
        <v>0.2762</v>
      </c>
      <c r="L236" s="56">
        <v>0.06</v>
      </c>
      <c r="M236" t="s">
        <v>228</v>
      </c>
    </row>
    <row r="237" spans="3:22">
      <c r="C237" s="50" t="s">
        <v>206</v>
      </c>
      <c r="F237" s="105" t="s">
        <v>208</v>
      </c>
      <c r="G237" s="23">
        <v>0.51619999999999999</v>
      </c>
      <c r="H237" s="23">
        <v>0.48</v>
      </c>
      <c r="I237" s="23">
        <v>0.42</v>
      </c>
      <c r="J237" s="23">
        <v>0.4</v>
      </c>
      <c r="K237" s="23">
        <v>0.41</v>
      </c>
      <c r="M237" t="s">
        <v>207</v>
      </c>
    </row>
    <row r="238" spans="3:22">
      <c r="C238" s="50" t="s">
        <v>151</v>
      </c>
      <c r="F238" s="104">
        <v>-0.1</v>
      </c>
      <c r="G238" s="22">
        <f>G236+$F$238</f>
        <v>0.41620000000000001</v>
      </c>
      <c r="H238" s="22">
        <f>H236+$F$238</f>
        <v>0.35619999999999996</v>
      </c>
      <c r="I238" s="22">
        <f t="shared" ref="I238:K238" si="92">I236+$F$238</f>
        <v>0.29620000000000002</v>
      </c>
      <c r="J238" s="22">
        <f t="shared" si="92"/>
        <v>0.23619999999999999</v>
      </c>
      <c r="K238" s="22">
        <f t="shared" si="92"/>
        <v>0.1762</v>
      </c>
    </row>
    <row r="239" spans="3:22">
      <c r="C239" s="36" t="s">
        <v>43</v>
      </c>
      <c r="F239" s="105"/>
      <c r="G239" s="51"/>
      <c r="H239" s="51"/>
      <c r="I239" s="51"/>
      <c r="J239" s="51"/>
      <c r="K239" s="51"/>
    </row>
    <row r="240" spans="3:22">
      <c r="C240" s="50" t="s">
        <v>148</v>
      </c>
      <c r="F240" s="104">
        <v>-0.01</v>
      </c>
      <c r="G240" s="22">
        <f>G241+$F$240</f>
        <v>7.8E-2</v>
      </c>
      <c r="H240" s="22">
        <f t="shared" ref="H240:K240" si="93">H241+$F$240</f>
        <v>8.2400000000000001E-2</v>
      </c>
      <c r="I240" s="22">
        <f t="shared" si="93"/>
        <v>8.2000000000000003E-2</v>
      </c>
      <c r="J240" s="22">
        <f t="shared" si="93"/>
        <v>8.2000000000000003E-2</v>
      </c>
      <c r="K240" s="22">
        <f t="shared" si="93"/>
        <v>8.2000000000000003E-2</v>
      </c>
    </row>
    <row r="241" spans="3:13">
      <c r="C241" s="50" t="s">
        <v>149</v>
      </c>
      <c r="F241" s="105" t="s">
        <v>150</v>
      </c>
      <c r="G241" s="23">
        <v>8.7999999999999995E-2</v>
      </c>
      <c r="H241" s="23">
        <v>9.2399999999999996E-2</v>
      </c>
      <c r="I241" s="23">
        <v>9.1999999999999998E-2</v>
      </c>
      <c r="J241" s="23">
        <v>9.1999999999999998E-2</v>
      </c>
      <c r="K241" s="23">
        <v>9.1999999999999998E-2</v>
      </c>
      <c r="M241" t="s">
        <v>227</v>
      </c>
    </row>
    <row r="242" spans="3:13">
      <c r="C242" s="50" t="s">
        <v>206</v>
      </c>
      <c r="F242" s="105" t="s">
        <v>208</v>
      </c>
      <c r="G242" s="23">
        <v>8.7999999999999995E-2</v>
      </c>
      <c r="H242" s="23">
        <v>8.7999999999999995E-2</v>
      </c>
      <c r="I242" s="23">
        <v>9.1999999999999998E-2</v>
      </c>
      <c r="J242" s="23">
        <v>9.4E-2</v>
      </c>
      <c r="K242" s="23">
        <v>9.7000000000000003E-2</v>
      </c>
      <c r="M242" t="s">
        <v>207</v>
      </c>
    </row>
    <row r="243" spans="3:13">
      <c r="C243" s="50" t="s">
        <v>151</v>
      </c>
      <c r="F243" s="104">
        <v>0.01</v>
      </c>
      <c r="G243" s="22">
        <f>G241+$F$243</f>
        <v>9.799999999999999E-2</v>
      </c>
      <c r="H243" s="22">
        <f t="shared" ref="H243:K243" si="94">H241+$F$243</f>
        <v>0.10239999999999999</v>
      </c>
      <c r="I243" s="22">
        <f t="shared" si="94"/>
        <v>0.10199999999999999</v>
      </c>
      <c r="J243" s="22">
        <f t="shared" si="94"/>
        <v>0.10199999999999999</v>
      </c>
      <c r="K243" s="22">
        <f t="shared" si="94"/>
        <v>0.10199999999999999</v>
      </c>
    </row>
    <row r="244" spans="3:13">
      <c r="C244" s="36" t="s">
        <v>44</v>
      </c>
      <c r="F244" s="105"/>
      <c r="G244" s="51"/>
      <c r="H244" s="51"/>
      <c r="I244" s="51"/>
      <c r="J244" s="51"/>
      <c r="K244" s="51"/>
    </row>
    <row r="245" spans="3:13">
      <c r="C245" s="50" t="s">
        <v>148</v>
      </c>
      <c r="F245" s="104">
        <v>-0.01</v>
      </c>
      <c r="G245" s="22">
        <f>G246+$F$245</f>
        <v>1.5000000000000001E-2</v>
      </c>
      <c r="H245" s="22">
        <f t="shared" ref="H245:K245" si="95">H246+$F$245</f>
        <v>1.5000000000000001E-2</v>
      </c>
      <c r="I245" s="22">
        <f t="shared" si="95"/>
        <v>1.5000000000000001E-2</v>
      </c>
      <c r="J245" s="22">
        <f t="shared" si="95"/>
        <v>1.5000000000000001E-2</v>
      </c>
      <c r="K245" s="22">
        <f t="shared" si="95"/>
        <v>1.5000000000000001E-2</v>
      </c>
    </row>
    <row r="246" spans="3:13">
      <c r="C246" s="50" t="s">
        <v>149</v>
      </c>
      <c r="F246" s="105" t="s">
        <v>150</v>
      </c>
      <c r="G246" s="23">
        <v>2.5000000000000001E-2</v>
      </c>
      <c r="H246" s="23">
        <v>2.5000000000000001E-2</v>
      </c>
      <c r="I246" s="23">
        <v>2.5000000000000001E-2</v>
      </c>
      <c r="J246" s="23">
        <v>2.5000000000000001E-2</v>
      </c>
      <c r="K246" s="23">
        <v>2.5000000000000001E-2</v>
      </c>
      <c r="M246" t="s">
        <v>227</v>
      </c>
    </row>
    <row r="247" spans="3:13">
      <c r="C247" s="50" t="s">
        <v>206</v>
      </c>
      <c r="F247" s="105" t="s">
        <v>208</v>
      </c>
      <c r="G247" s="23">
        <v>2.5000000000000001E-2</v>
      </c>
      <c r="H247" s="23">
        <v>2.5000000000000001E-2</v>
      </c>
      <c r="I247" s="23">
        <v>2.5000000000000001E-2</v>
      </c>
      <c r="J247" s="23">
        <v>2.5000000000000001E-2</v>
      </c>
      <c r="K247" s="23">
        <v>2.5999999999999999E-2</v>
      </c>
      <c r="M247" t="s">
        <v>207</v>
      </c>
    </row>
    <row r="248" spans="3:13" ht="15.75" thickBot="1">
      <c r="C248" s="50" t="s">
        <v>151</v>
      </c>
      <c r="F248" s="106">
        <v>0.01</v>
      </c>
      <c r="G248" s="22">
        <f>G246+$F$170</f>
        <v>2.5000000000000001E-2</v>
      </c>
      <c r="H248" s="22">
        <f>H246+$F$170</f>
        <v>2.5000000000000001E-2</v>
      </c>
      <c r="I248" s="22">
        <f>I246+$F$170</f>
        <v>2.5000000000000001E-2</v>
      </c>
      <c r="J248" s="22">
        <f>J246+$F$170</f>
        <v>2.5000000000000001E-2</v>
      </c>
      <c r="K248" s="22">
        <f>K246+$F$170</f>
        <v>2.5000000000000001E-2</v>
      </c>
    </row>
  </sheetData>
  <dataValidations count="2">
    <dataValidation type="list" allowBlank="1" showInputMessage="1" showErrorMessage="1" sqref="D7" xr:uid="{DA10AA96-0764-4B96-B84E-F91DDDD405F6}">
      <formula1>"0,1"</formula1>
    </dataValidation>
    <dataValidation type="list" allowBlank="1" showInputMessage="1" showErrorMessage="1" sqref="D12" xr:uid="{E1B8A2EE-719A-48CC-A314-4DB885182149}">
      <formula1>"Weak Case,Base Case,Analyst Case,Best Case"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E9DE-CBEB-4FB6-AA4B-8DA1C64516A8}">
  <dimension ref="C2:P25"/>
  <sheetViews>
    <sheetView workbookViewId="0">
      <selection activeCell="G15" sqref="G15:K15"/>
    </sheetView>
  </sheetViews>
  <sheetFormatPr defaultRowHeight="15"/>
  <cols>
    <col min="1" max="2" width="1.7109375" customWidth="1"/>
    <col min="3" max="3" width="27.5703125" bestFit="1" customWidth="1"/>
  </cols>
  <sheetData>
    <row r="2" spans="3:16">
      <c r="C2" s="6" t="s">
        <v>166</v>
      </c>
      <c r="D2" s="7"/>
      <c r="E2" s="8"/>
      <c r="F2" s="8"/>
      <c r="G2" s="8"/>
      <c r="H2" s="8"/>
      <c r="I2" s="8"/>
      <c r="J2" s="8"/>
      <c r="K2" s="8"/>
    </row>
    <row r="3" spans="3:16">
      <c r="C3" t="s">
        <v>9</v>
      </c>
      <c r="D3" s="24"/>
      <c r="E3" s="24">
        <v>2024</v>
      </c>
      <c r="F3" s="24">
        <v>2025</v>
      </c>
      <c r="G3" s="158">
        <v>2026</v>
      </c>
      <c r="H3" s="158">
        <f>G3+1</f>
        <v>2027</v>
      </c>
      <c r="I3" s="158">
        <f t="shared" ref="I3:K3" si="0">H3+1</f>
        <v>2028</v>
      </c>
      <c r="J3" s="158">
        <f t="shared" si="0"/>
        <v>2029</v>
      </c>
      <c r="K3" s="158">
        <f t="shared" si="0"/>
        <v>2030</v>
      </c>
    </row>
    <row r="4" spans="3:16">
      <c r="C4" s="13" t="s">
        <v>10</v>
      </c>
      <c r="D4" s="116"/>
      <c r="E4" s="116">
        <f>DATE(2025,8,28)-364</f>
        <v>45533</v>
      </c>
      <c r="F4" s="116">
        <f>'FSM Forecast'!D10</f>
        <v>45897</v>
      </c>
      <c r="G4" s="116">
        <f>DATE(2025,8,28)+364</f>
        <v>46261</v>
      </c>
      <c r="H4" s="116">
        <f>DATE(2026,8,27)+364</f>
        <v>46625</v>
      </c>
      <c r="I4" s="116">
        <f>DATE(2027,8,26)+371</f>
        <v>46996</v>
      </c>
      <c r="J4" s="116">
        <f>DATE(2028,8,31)+364</f>
        <v>47360</v>
      </c>
      <c r="K4" s="116">
        <f>DATE(2029,8,30)+364</f>
        <v>47724</v>
      </c>
    </row>
    <row r="5" spans="3:16">
      <c r="C5" s="117" t="s">
        <v>167</v>
      </c>
      <c r="D5" s="118"/>
      <c r="E5" s="118"/>
      <c r="F5" s="118"/>
      <c r="G5" s="118"/>
      <c r="H5" s="118"/>
      <c r="I5" s="118"/>
      <c r="J5" s="118"/>
      <c r="K5" s="118"/>
    </row>
    <row r="6" spans="3:16">
      <c r="C6" s="119" t="s">
        <v>168</v>
      </c>
      <c r="D6" s="2"/>
      <c r="E6" s="24"/>
      <c r="F6" s="165"/>
      <c r="G6" s="158"/>
      <c r="H6" s="24"/>
      <c r="I6" s="24"/>
      <c r="J6" s="24"/>
      <c r="K6" s="165"/>
    </row>
    <row r="7" spans="3:16">
      <c r="C7" s="21"/>
      <c r="D7" s="4"/>
      <c r="E7" s="116"/>
      <c r="F7" s="116"/>
      <c r="G7" s="133"/>
      <c r="H7" s="16"/>
      <c r="I7" s="16"/>
      <c r="J7" s="16"/>
      <c r="K7" s="124"/>
      <c r="O7" s="109"/>
      <c r="P7" s="109"/>
    </row>
    <row r="8" spans="3:16">
      <c r="C8" s="21" t="s">
        <v>216</v>
      </c>
      <c r="D8" s="4"/>
      <c r="E8" s="4">
        <v>17600</v>
      </c>
      <c r="F8" s="134">
        <v>28580</v>
      </c>
      <c r="G8" s="133">
        <f>F8*(1+G22)</f>
        <v>43135.793999999994</v>
      </c>
      <c r="H8" s="16">
        <f t="shared" ref="H8:K8" si="1">G8*(1+H22)</f>
        <v>54001.700508599992</v>
      </c>
      <c r="I8" s="16">
        <f t="shared" si="1"/>
        <v>59715.080422409876</v>
      </c>
      <c r="J8" s="16">
        <f t="shared" si="1"/>
        <v>63309.928263838949</v>
      </c>
      <c r="K8" s="124">
        <f t="shared" si="1"/>
        <v>67121.185945322053</v>
      </c>
      <c r="O8" s="35"/>
      <c r="P8" s="35"/>
    </row>
    <row r="9" spans="3:16">
      <c r="C9" s="21" t="s">
        <v>217</v>
      </c>
      <c r="D9" s="4"/>
      <c r="E9" s="4">
        <v>7230</v>
      </c>
      <c r="F9" s="4">
        <v>8500</v>
      </c>
      <c r="G9" s="133">
        <f>F9*(1+G23)</f>
        <v>10949.7</v>
      </c>
      <c r="H9" s="16">
        <f t="shared" ref="H9:K9" si="2">G9*(1+H23)</f>
        <v>12981.964320000003</v>
      </c>
      <c r="I9" s="16">
        <f t="shared" si="2"/>
        <v>14207.461751808003</v>
      </c>
      <c r="J9" s="16">
        <f t="shared" si="2"/>
        <v>14957.615732303466</v>
      </c>
      <c r="K9" s="124">
        <f t="shared" si="2"/>
        <v>15606.776255085439</v>
      </c>
      <c r="O9" s="35"/>
      <c r="P9" s="35"/>
    </row>
    <row r="10" spans="3:16">
      <c r="C10" s="21" t="s">
        <v>219</v>
      </c>
      <c r="D10" s="4"/>
      <c r="E10" s="4">
        <f>SUM(E8:E9)</f>
        <v>24830</v>
      </c>
      <c r="F10" s="134">
        <f t="shared" ref="F10:K10" si="3">SUM(F8:F9)</f>
        <v>37080</v>
      </c>
      <c r="G10" s="16">
        <f t="shared" si="3"/>
        <v>54085.493999999992</v>
      </c>
      <c r="H10" s="16">
        <f t="shared" si="3"/>
        <v>66983.664828599998</v>
      </c>
      <c r="I10" s="16">
        <f t="shared" si="3"/>
        <v>73922.542174217873</v>
      </c>
      <c r="J10" s="16">
        <f t="shared" si="3"/>
        <v>78267.543996142413</v>
      </c>
      <c r="K10" s="124">
        <f t="shared" si="3"/>
        <v>82727.962200407492</v>
      </c>
      <c r="O10" s="35"/>
      <c r="P10" s="35"/>
    </row>
    <row r="11" spans="3:16">
      <c r="C11" s="21" t="s">
        <v>169</v>
      </c>
      <c r="E11" s="5"/>
      <c r="F11" s="73">
        <f>F10/E10-1</f>
        <v>0.49335481272654058</v>
      </c>
      <c r="G11" s="5">
        <f>G10/F10-1</f>
        <v>0.45861634304207088</v>
      </c>
      <c r="H11" s="5">
        <f t="shared" ref="H11:K11" si="4">H10/G10-1</f>
        <v>0.23847745254208097</v>
      </c>
      <c r="I11" s="5">
        <f t="shared" si="4"/>
        <v>0.10359058978593216</v>
      </c>
      <c r="J11" s="5">
        <f t="shared" si="4"/>
        <v>5.8777765132649318E-2</v>
      </c>
      <c r="K11" s="73">
        <f t="shared" si="4"/>
        <v>5.6989372305906505E-2</v>
      </c>
    </row>
    <row r="12" spans="3:16">
      <c r="C12" s="50"/>
      <c r="E12" s="5"/>
      <c r="F12" s="73"/>
      <c r="G12" s="5"/>
      <c r="H12" s="5"/>
      <c r="I12" s="5"/>
      <c r="J12" s="5"/>
      <c r="K12" s="73"/>
    </row>
    <row r="13" spans="3:16">
      <c r="C13" s="113" t="s">
        <v>229</v>
      </c>
      <c r="D13" s="67"/>
      <c r="E13" s="67"/>
      <c r="F13" s="115"/>
      <c r="G13" s="67"/>
      <c r="H13" s="67"/>
      <c r="I13" s="67"/>
      <c r="J13" s="67"/>
      <c r="K13" s="72"/>
    </row>
    <row r="14" spans="3:16">
      <c r="C14" s="21" t="s">
        <v>216</v>
      </c>
      <c r="D14" s="4"/>
      <c r="E14" s="4"/>
      <c r="F14" s="134"/>
      <c r="G14" s="159">
        <v>0.17</v>
      </c>
      <c r="H14" s="159">
        <v>0.17</v>
      </c>
      <c r="I14" s="159">
        <v>0.14000000000000001</v>
      </c>
      <c r="J14" s="159">
        <v>0.14000000000000001</v>
      </c>
      <c r="K14" s="161">
        <v>0.14000000000000001</v>
      </c>
    </row>
    <row r="15" spans="3:16">
      <c r="C15" s="21" t="s">
        <v>217</v>
      </c>
      <c r="D15" s="4"/>
      <c r="E15" s="4"/>
      <c r="F15" s="134"/>
      <c r="G15" s="159">
        <v>0.14000000000000001</v>
      </c>
      <c r="H15" s="159">
        <v>0.14000000000000001</v>
      </c>
      <c r="I15" s="159">
        <v>0.14000000000000001</v>
      </c>
      <c r="J15" s="159">
        <v>0.12</v>
      </c>
      <c r="K15" s="164">
        <v>0.11</v>
      </c>
    </row>
    <row r="16" spans="3:16">
      <c r="F16" s="72"/>
      <c r="K16" s="72"/>
    </row>
    <row r="17" spans="3:16">
      <c r="C17" s="113" t="s">
        <v>218</v>
      </c>
      <c r="D17" s="67"/>
      <c r="E17" s="67"/>
      <c r="F17" s="115"/>
      <c r="H17" s="67"/>
      <c r="I17" s="67"/>
      <c r="J17" s="67"/>
      <c r="K17" s="72"/>
      <c r="P17" s="35"/>
    </row>
    <row r="18" spans="3:16">
      <c r="C18" s="21" t="s">
        <v>216</v>
      </c>
      <c r="D18" s="108"/>
      <c r="E18" s="108"/>
      <c r="F18" s="141"/>
      <c r="G18" s="160">
        <v>0.28999999999999998</v>
      </c>
      <c r="H18" s="159">
        <v>7.0000000000000007E-2</v>
      </c>
      <c r="I18" s="159">
        <v>-0.03</v>
      </c>
      <c r="J18" s="159">
        <v>-7.0000000000000007E-2</v>
      </c>
      <c r="K18" s="161">
        <v>-7.0000000000000007E-2</v>
      </c>
      <c r="P18" s="35"/>
    </row>
    <row r="19" spans="3:16">
      <c r="C19" s="21" t="s">
        <v>217</v>
      </c>
      <c r="D19" s="108"/>
      <c r="E19" s="108"/>
      <c r="F19" s="108"/>
      <c r="G19" s="163">
        <v>0.13</v>
      </c>
      <c r="H19" s="159">
        <v>0.04</v>
      </c>
      <c r="I19" s="159">
        <v>-0.04</v>
      </c>
      <c r="J19" s="159">
        <v>-0.06</v>
      </c>
      <c r="K19" s="164">
        <v>-0.06</v>
      </c>
    </row>
    <row r="20" spans="3:16">
      <c r="C20" s="21"/>
      <c r="D20" s="108"/>
      <c r="E20" s="108"/>
      <c r="F20" s="108"/>
      <c r="G20" s="110"/>
      <c r="H20" s="111"/>
      <c r="I20" s="111"/>
      <c r="J20" s="111"/>
      <c r="K20" s="112"/>
    </row>
    <row r="21" spans="3:16">
      <c r="C21" s="113" t="s">
        <v>220</v>
      </c>
      <c r="D21" s="67"/>
      <c r="E21" s="67"/>
      <c r="F21" s="67"/>
      <c r="G21" s="114"/>
      <c r="H21" s="67"/>
      <c r="I21" s="67"/>
      <c r="J21" s="67"/>
      <c r="K21" s="115"/>
      <c r="P21" s="35"/>
    </row>
    <row r="22" spans="3:16">
      <c r="C22" s="21" t="s">
        <v>216</v>
      </c>
      <c r="D22" s="58"/>
      <c r="E22" s="22"/>
      <c r="F22" s="22"/>
      <c r="G22" s="162">
        <f>(1+G14)*(1+G18)-1</f>
        <v>0.50929999999999986</v>
      </c>
      <c r="H22" s="166">
        <f t="shared" ref="H22:K22" si="5">(1+H14)*(1+H18)-1</f>
        <v>0.25190000000000001</v>
      </c>
      <c r="I22" s="166">
        <f t="shared" si="5"/>
        <v>0.10580000000000012</v>
      </c>
      <c r="J22" s="166">
        <f t="shared" si="5"/>
        <v>6.0200000000000031E-2</v>
      </c>
      <c r="K22" s="167">
        <f t="shared" si="5"/>
        <v>6.0200000000000031E-2</v>
      </c>
    </row>
    <row r="23" spans="3:16">
      <c r="C23" s="21" t="s">
        <v>217</v>
      </c>
      <c r="E23" s="22"/>
      <c r="F23" s="22"/>
      <c r="G23" s="162">
        <f>(1+G15)*(1+G19)-1</f>
        <v>0.28820000000000001</v>
      </c>
      <c r="H23" s="166">
        <f t="shared" ref="H23:K23" si="6">(1+H15)*(1+H19)-1</f>
        <v>0.18560000000000021</v>
      </c>
      <c r="I23" s="166">
        <f t="shared" si="6"/>
        <v>9.4400000000000039E-2</v>
      </c>
      <c r="J23" s="166">
        <f t="shared" si="6"/>
        <v>5.2799999999999958E-2</v>
      </c>
      <c r="K23" s="167">
        <f t="shared" si="6"/>
        <v>4.3400000000000105E-2</v>
      </c>
    </row>
    <row r="24" spans="3:16">
      <c r="C24" s="21"/>
      <c r="D24" s="58"/>
      <c r="E24" s="22"/>
      <c r="F24" s="22"/>
      <c r="G24" s="71"/>
      <c r="H24" s="22"/>
      <c r="I24" s="22"/>
      <c r="J24" s="22"/>
      <c r="K24" s="74"/>
    </row>
    <row r="25" spans="3:16">
      <c r="C25" s="50"/>
      <c r="G25" s="114"/>
      <c r="H25" s="67"/>
      <c r="I25" s="67"/>
      <c r="J25" s="67"/>
      <c r="K25" s="115"/>
      <c r="P25" s="3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3379-E0B7-4C62-ACC6-7113730BD65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FSM Forecast</vt:lpstr>
      <vt:lpstr>Revenue Build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</dc:creator>
  <cp:lastModifiedBy>Tyler S</cp:lastModifiedBy>
  <dcterms:created xsi:type="dcterms:W3CDTF">2026-01-28T13:34:01Z</dcterms:created>
  <dcterms:modified xsi:type="dcterms:W3CDTF">2026-04-09T21:50:59Z</dcterms:modified>
</cp:coreProperties>
</file>