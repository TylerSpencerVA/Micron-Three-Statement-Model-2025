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Micron FSM/"/>
    </mc:Choice>
  </mc:AlternateContent>
  <xr:revisionPtr revIDLastSave="21" documentId="8_{ACB78E49-167D-4281-B65D-DB74B61CB904}" xr6:coauthVersionLast="47" xr6:coauthVersionMax="47" xr10:uidLastSave="{7AC19F86-E81C-4547-B075-548990012438}"/>
  <bookViews>
    <workbookView xWindow="-120" yWindow="-120" windowWidth="29040" windowHeight="15840" xr2:uid="{290D46E5-3F9E-47F2-82EA-07C5FF78B19B}"/>
  </bookViews>
  <sheets>
    <sheet name="FSM Forecast" sheetId="1" r:id="rId1"/>
    <sheet name="Revenue Build" sheetId="2" r:id="rId2"/>
    <sheet name="Sheet3" sheetId="3" state="hidden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5" i="1" l="1"/>
  <c r="G22" i="2"/>
  <c r="G8" i="2" s="1"/>
  <c r="F11" i="2"/>
  <c r="H23" i="2"/>
  <c r="I23" i="2"/>
  <c r="J23" i="2"/>
  <c r="K23" i="2"/>
  <c r="G23" i="2"/>
  <c r="G9" i="2" s="1"/>
  <c r="H22" i="2"/>
  <c r="I22" i="2"/>
  <c r="J22" i="2"/>
  <c r="K22" i="2"/>
  <c r="F4" i="2"/>
  <c r="F16" i="1"/>
  <c r="E4" i="2"/>
  <c r="K4" i="2"/>
  <c r="J4" i="2"/>
  <c r="I4" i="2"/>
  <c r="H4" i="2"/>
  <c r="G4" i="2"/>
  <c r="H3" i="2"/>
  <c r="I3" i="2" s="1"/>
  <c r="J3" i="2" s="1"/>
  <c r="K3" i="2" s="1"/>
  <c r="F10" i="2"/>
  <c r="E10" i="2"/>
  <c r="G227" i="1"/>
  <c r="E179" i="1"/>
  <c r="G238" i="1"/>
  <c r="D179" i="1"/>
  <c r="K227" i="1"/>
  <c r="J227" i="1"/>
  <c r="I227" i="1"/>
  <c r="H227" i="1"/>
  <c r="K232" i="1"/>
  <c r="J232" i="1"/>
  <c r="I232" i="1"/>
  <c r="H232" i="1"/>
  <c r="G232" i="1"/>
  <c r="G243" i="1"/>
  <c r="H243" i="1"/>
  <c r="I243" i="1"/>
  <c r="J243" i="1"/>
  <c r="K243" i="1"/>
  <c r="H236" i="1"/>
  <c r="I236" i="1" s="1"/>
  <c r="J236" i="1" s="1"/>
  <c r="K236" i="1" s="1"/>
  <c r="K235" i="1" s="1"/>
  <c r="J235" i="1" l="1"/>
  <c r="I235" i="1"/>
  <c r="H235" i="1"/>
  <c r="G226" i="1"/>
  <c r="G228" i="1" s="1"/>
  <c r="H8" i="2"/>
  <c r="I8" i="2" s="1"/>
  <c r="J8" i="2" s="1"/>
  <c r="K8" i="2" s="1"/>
  <c r="K226" i="1" s="1"/>
  <c r="K228" i="1" s="1"/>
  <c r="H9" i="2"/>
  <c r="G231" i="1"/>
  <c r="H238" i="1"/>
  <c r="G10" i="2"/>
  <c r="G11" i="2" s="1"/>
  <c r="K238" i="1"/>
  <c r="J238" i="1"/>
  <c r="I238" i="1"/>
  <c r="J226" i="1" l="1"/>
  <c r="J225" i="1" s="1"/>
  <c r="H226" i="1"/>
  <c r="H225" i="1" s="1"/>
  <c r="H10" i="2"/>
  <c r="H11" i="2" s="1"/>
  <c r="I226" i="1"/>
  <c r="I228" i="1" s="1"/>
  <c r="G225" i="1"/>
  <c r="K225" i="1"/>
  <c r="G233" i="1"/>
  <c r="G230" i="1"/>
  <c r="I9" i="2"/>
  <c r="H231" i="1"/>
  <c r="I225" i="1" l="1"/>
  <c r="H228" i="1"/>
  <c r="J228" i="1"/>
  <c r="H230" i="1"/>
  <c r="H233" i="1"/>
  <c r="J9" i="2"/>
  <c r="I231" i="1"/>
  <c r="I10" i="2"/>
  <c r="I11" i="2" s="1"/>
  <c r="F179" i="1"/>
  <c r="H240" i="1"/>
  <c r="I240" i="1"/>
  <c r="J240" i="1"/>
  <c r="K240" i="1"/>
  <c r="G240" i="1"/>
  <c r="H245" i="1"/>
  <c r="I245" i="1"/>
  <c r="J245" i="1"/>
  <c r="K245" i="1"/>
  <c r="G245" i="1"/>
  <c r="D212" i="1"/>
  <c r="E74" i="1"/>
  <c r="G160" i="1"/>
  <c r="G162" i="1" s="1"/>
  <c r="H160" i="1"/>
  <c r="H162" i="1" s="1"/>
  <c r="I160" i="1"/>
  <c r="I162" i="1" s="1"/>
  <c r="I164" i="1" s="1"/>
  <c r="J160" i="1"/>
  <c r="J162" i="1" s="1"/>
  <c r="K160" i="1"/>
  <c r="K162" i="1" s="1"/>
  <c r="F169" i="1"/>
  <c r="F152" i="1"/>
  <c r="E152" i="1"/>
  <c r="G53" i="1"/>
  <c r="H53" i="1" s="1"/>
  <c r="I53" i="1" s="1"/>
  <c r="J53" i="1" s="1"/>
  <c r="K53" i="1" s="1"/>
  <c r="H94" i="1"/>
  <c r="I94" i="1"/>
  <c r="J94" i="1"/>
  <c r="K94" i="1"/>
  <c r="G94" i="1"/>
  <c r="E48" i="1"/>
  <c r="E169" i="1"/>
  <c r="D169" i="1"/>
  <c r="E156" i="1"/>
  <c r="E157" i="1" s="1"/>
  <c r="F156" i="1"/>
  <c r="D152" i="1"/>
  <c r="E145" i="1"/>
  <c r="F145" i="1"/>
  <c r="G142" i="1" s="1"/>
  <c r="I233" i="1" l="1"/>
  <c r="I230" i="1"/>
  <c r="K9" i="2"/>
  <c r="J231" i="1"/>
  <c r="J10" i="2"/>
  <c r="J11" i="2" s="1"/>
  <c r="F219" i="1"/>
  <c r="F218" i="1"/>
  <c r="F217" i="1"/>
  <c r="F222" i="1"/>
  <c r="F220" i="1"/>
  <c r="F216" i="1"/>
  <c r="F221" i="1"/>
  <c r="G216" i="1"/>
  <c r="H220" i="1"/>
  <c r="H40" i="1" s="1"/>
  <c r="G217" i="1"/>
  <c r="G220" i="1"/>
  <c r="G40" i="1" s="1"/>
  <c r="G221" i="1"/>
  <c r="G41" i="1" s="1"/>
  <c r="I217" i="1"/>
  <c r="G222" i="1"/>
  <c r="G42" i="1" s="1"/>
  <c r="H217" i="1"/>
  <c r="K221" i="1"/>
  <c r="K41" i="1" s="1"/>
  <c r="J222" i="1"/>
  <c r="J42" i="1" s="1"/>
  <c r="J221" i="1"/>
  <c r="J41" i="1" s="1"/>
  <c r="K222" i="1"/>
  <c r="K42" i="1" s="1"/>
  <c r="H216" i="1"/>
  <c r="I222" i="1"/>
  <c r="I42" i="1" s="1"/>
  <c r="H222" i="1"/>
  <c r="H42" i="1" s="1"/>
  <c r="I221" i="1"/>
  <c r="I41" i="1" s="1"/>
  <c r="H221" i="1"/>
  <c r="H41" i="1" s="1"/>
  <c r="K220" i="1"/>
  <c r="K40" i="1" s="1"/>
  <c r="J220" i="1"/>
  <c r="J40" i="1" s="1"/>
  <c r="I220" i="1"/>
  <c r="I40" i="1" s="1"/>
  <c r="E164" i="1"/>
  <c r="K164" i="1"/>
  <c r="H164" i="1"/>
  <c r="G164" i="1"/>
  <c r="J164" i="1"/>
  <c r="F157" i="1"/>
  <c r="F164" i="1" s="1"/>
  <c r="J233" i="1" l="1"/>
  <c r="J230" i="1"/>
  <c r="K231" i="1"/>
  <c r="K10" i="2"/>
  <c r="K11" i="2" s="1"/>
  <c r="J217" i="1"/>
  <c r="G218" i="1"/>
  <c r="G219" i="1" s="1"/>
  <c r="G39" i="1" s="1"/>
  <c r="H218" i="1"/>
  <c r="I216" i="1"/>
  <c r="I218" i="1" s="1"/>
  <c r="H91" i="1"/>
  <c r="H92" i="1" s="1"/>
  <c r="I91" i="1"/>
  <c r="I92" i="1" s="1"/>
  <c r="J91" i="1"/>
  <c r="J92" i="1" s="1"/>
  <c r="K91" i="1"/>
  <c r="K92" i="1" s="1"/>
  <c r="G91" i="1"/>
  <c r="G92" i="1" s="1"/>
  <c r="G127" i="1"/>
  <c r="H127" i="1" s="1"/>
  <c r="G128" i="1"/>
  <c r="H128" i="1" s="1"/>
  <c r="E129" i="1"/>
  <c r="F129" i="1"/>
  <c r="G125" i="1" s="1"/>
  <c r="F122" i="1"/>
  <c r="G119" i="1" s="1"/>
  <c r="E122" i="1"/>
  <c r="H115" i="1"/>
  <c r="I115" i="1" s="1"/>
  <c r="J115" i="1" s="1"/>
  <c r="K115" i="1" s="1"/>
  <c r="E116" i="1"/>
  <c r="E114" i="1" s="1"/>
  <c r="E115" i="1" s="1"/>
  <c r="F116" i="1"/>
  <c r="F114" i="1" s="1"/>
  <c r="F115" i="1" s="1"/>
  <c r="E109" i="1"/>
  <c r="D116" i="1"/>
  <c r="D114" i="1" s="1"/>
  <c r="D115" i="1" s="1"/>
  <c r="H111" i="1"/>
  <c r="H108" i="1" s="1"/>
  <c r="F109" i="1"/>
  <c r="G106" i="1" s="1"/>
  <c r="G108" i="1"/>
  <c r="K233" i="1" l="1"/>
  <c r="K230" i="1"/>
  <c r="K217" i="1"/>
  <c r="I219" i="1"/>
  <c r="I39" i="1" s="1"/>
  <c r="H219" i="1"/>
  <c r="H39" i="1" s="1"/>
  <c r="K216" i="1"/>
  <c r="J216" i="1"/>
  <c r="J218" i="1" s="1"/>
  <c r="G96" i="1"/>
  <c r="G97" i="1"/>
  <c r="I127" i="1"/>
  <c r="H97" i="1"/>
  <c r="I128" i="1"/>
  <c r="H96" i="1"/>
  <c r="G109" i="1"/>
  <c r="I111" i="1"/>
  <c r="I108" i="1" s="1"/>
  <c r="K218" i="1" l="1"/>
  <c r="K219" i="1" s="1"/>
  <c r="K39" i="1" s="1"/>
  <c r="G18" i="1"/>
  <c r="H18" i="1" s="1"/>
  <c r="I18" i="1" s="1"/>
  <c r="G49" i="1"/>
  <c r="J219" i="1"/>
  <c r="J39" i="1" s="1"/>
  <c r="J111" i="1"/>
  <c r="J108" i="1" s="1"/>
  <c r="J128" i="1"/>
  <c r="I96" i="1"/>
  <c r="H106" i="1"/>
  <c r="H109" i="1" s="1"/>
  <c r="G52" i="1"/>
  <c r="I97" i="1"/>
  <c r="J127" i="1"/>
  <c r="J18" i="1" l="1"/>
  <c r="K111" i="1"/>
  <c r="K108" i="1" s="1"/>
  <c r="J97" i="1"/>
  <c r="K127" i="1"/>
  <c r="K97" i="1" s="1"/>
  <c r="I106" i="1"/>
  <c r="I109" i="1" s="1"/>
  <c r="H52" i="1"/>
  <c r="K128" i="1"/>
  <c r="K96" i="1" s="1"/>
  <c r="J96" i="1"/>
  <c r="K18" i="1" l="1"/>
  <c r="J106" i="1"/>
  <c r="J109" i="1" s="1"/>
  <c r="I52" i="1"/>
  <c r="D111" i="1"/>
  <c r="F111" i="1"/>
  <c r="E111" i="1"/>
  <c r="G66" i="1"/>
  <c r="G88" i="1" s="1"/>
  <c r="G61" i="1"/>
  <c r="H61" i="1" s="1"/>
  <c r="I61" i="1" s="1"/>
  <c r="J61" i="1" s="1"/>
  <c r="K61" i="1" s="1"/>
  <c r="G57" i="1"/>
  <c r="G51" i="1"/>
  <c r="H51" i="1" s="1"/>
  <c r="I51" i="1" s="1"/>
  <c r="J51" i="1" s="1"/>
  <c r="K51" i="1" s="1"/>
  <c r="H49" i="1"/>
  <c r="G114" i="1"/>
  <c r="G116" i="1" s="1"/>
  <c r="H66" i="1" l="1"/>
  <c r="I66" i="1" s="1"/>
  <c r="G33" i="1"/>
  <c r="G83" i="1" s="1"/>
  <c r="G120" i="1"/>
  <c r="H57" i="1"/>
  <c r="G122" i="1"/>
  <c r="K106" i="1"/>
  <c r="K109" i="1" s="1"/>
  <c r="K52" i="1" s="1"/>
  <c r="J52" i="1"/>
  <c r="I49" i="1"/>
  <c r="H88" i="1" l="1"/>
  <c r="G121" i="1"/>
  <c r="G87" i="1" s="1"/>
  <c r="H119" i="1"/>
  <c r="I57" i="1"/>
  <c r="H122" i="1"/>
  <c r="I119" i="1" s="1"/>
  <c r="J66" i="1"/>
  <c r="I88" i="1"/>
  <c r="J49" i="1"/>
  <c r="K66" i="1" l="1"/>
  <c r="K88" i="1" s="1"/>
  <c r="J88" i="1"/>
  <c r="J57" i="1"/>
  <c r="I122" i="1"/>
  <c r="K49" i="1"/>
  <c r="J119" i="1" l="1"/>
  <c r="K57" i="1"/>
  <c r="K122" i="1" s="1"/>
  <c r="J122" i="1"/>
  <c r="K119" i="1" s="1"/>
  <c r="G20" i="1"/>
  <c r="G35" i="1"/>
  <c r="G183" i="1" s="1"/>
  <c r="G28" i="1"/>
  <c r="H28" i="1" s="1"/>
  <c r="I28" i="1" s="1"/>
  <c r="J28" i="1" s="1"/>
  <c r="F39" i="1"/>
  <c r="G22" i="1"/>
  <c r="H22" i="1" s="1"/>
  <c r="I22" i="1" s="1"/>
  <c r="J22" i="1" s="1"/>
  <c r="K22" i="1" s="1"/>
  <c r="G21" i="1"/>
  <c r="H21" i="1" s="1"/>
  <c r="I21" i="1" s="1"/>
  <c r="J21" i="1" s="1"/>
  <c r="K21" i="1" s="1"/>
  <c r="E67" i="1"/>
  <c r="F48" i="1"/>
  <c r="E58" i="1"/>
  <c r="F67" i="1"/>
  <c r="F150" i="1"/>
  <c r="F133" i="1"/>
  <c r="F104" i="1"/>
  <c r="F47" i="1"/>
  <c r="K133" i="1"/>
  <c r="J133" i="1"/>
  <c r="I133" i="1"/>
  <c r="H133" i="1"/>
  <c r="G133" i="1"/>
  <c r="E133" i="1"/>
  <c r="D133" i="1"/>
  <c r="H132" i="1"/>
  <c r="I132" i="1" s="1"/>
  <c r="J132" i="1" s="1"/>
  <c r="K132" i="1" s="1"/>
  <c r="E132" i="1"/>
  <c r="D132" i="1" s="1"/>
  <c r="K150" i="1"/>
  <c r="J150" i="1"/>
  <c r="I150" i="1"/>
  <c r="H150" i="1"/>
  <c r="G150" i="1"/>
  <c r="E150" i="1"/>
  <c r="D150" i="1"/>
  <c r="H149" i="1"/>
  <c r="I149" i="1" s="1"/>
  <c r="J149" i="1" s="1"/>
  <c r="K149" i="1" s="1"/>
  <c r="E149" i="1"/>
  <c r="D149" i="1" s="1"/>
  <c r="K104" i="1"/>
  <c r="J104" i="1"/>
  <c r="I104" i="1"/>
  <c r="H104" i="1"/>
  <c r="G104" i="1"/>
  <c r="E104" i="1"/>
  <c r="D104" i="1"/>
  <c r="H103" i="1"/>
  <c r="I103" i="1" s="1"/>
  <c r="J103" i="1" s="1"/>
  <c r="K103" i="1" s="1"/>
  <c r="E103" i="1"/>
  <c r="D103" i="1" s="1"/>
  <c r="K80" i="1"/>
  <c r="J80" i="1"/>
  <c r="I80" i="1"/>
  <c r="H80" i="1"/>
  <c r="G80" i="1"/>
  <c r="H79" i="1"/>
  <c r="I79" i="1" s="1"/>
  <c r="J79" i="1" s="1"/>
  <c r="K79" i="1" s="1"/>
  <c r="K47" i="1"/>
  <c r="J47" i="1"/>
  <c r="I47" i="1"/>
  <c r="H47" i="1"/>
  <c r="G47" i="1"/>
  <c r="E47" i="1"/>
  <c r="H46" i="1"/>
  <c r="I46" i="1" s="1"/>
  <c r="J46" i="1" s="1"/>
  <c r="K46" i="1" s="1"/>
  <c r="E46" i="1"/>
  <c r="E41" i="1"/>
  <c r="F41" i="1"/>
  <c r="E42" i="1"/>
  <c r="F42" i="1"/>
  <c r="D42" i="1"/>
  <c r="D41" i="1"/>
  <c r="E39" i="1"/>
  <c r="D16" i="1"/>
  <c r="D173" i="1" s="1"/>
  <c r="E16" i="1"/>
  <c r="K16" i="1"/>
  <c r="K173" i="1" s="1"/>
  <c r="J16" i="1"/>
  <c r="J173" i="1" s="1"/>
  <c r="I16" i="1"/>
  <c r="I173" i="1" s="1"/>
  <c r="H16" i="1"/>
  <c r="H173" i="1" s="1"/>
  <c r="G16" i="1"/>
  <c r="K182" i="1"/>
  <c r="J182" i="1"/>
  <c r="I182" i="1"/>
  <c r="H182" i="1"/>
  <c r="G182" i="1"/>
  <c r="C173" i="1"/>
  <c r="G172" i="1"/>
  <c r="F172" i="1"/>
  <c r="C172" i="1"/>
  <c r="I248" i="1"/>
  <c r="H248" i="1"/>
  <c r="G248" i="1"/>
  <c r="G214" i="1"/>
  <c r="C150" i="1"/>
  <c r="C149" i="1"/>
  <c r="C133" i="1"/>
  <c r="C132" i="1"/>
  <c r="F20" i="1"/>
  <c r="F25" i="1" s="1"/>
  <c r="E20" i="1"/>
  <c r="D20" i="1"/>
  <c r="F173" i="1"/>
  <c r="H15" i="1"/>
  <c r="I15" i="1" s="1"/>
  <c r="E15" i="1"/>
  <c r="D15" i="1" s="1"/>
  <c r="D172" i="1" s="1"/>
  <c r="C2" i="1"/>
  <c r="E76" i="1" l="1"/>
  <c r="D25" i="1"/>
  <c r="D29" i="1" s="1"/>
  <c r="E25" i="1"/>
  <c r="E29" i="1" s="1"/>
  <c r="G73" i="1"/>
  <c r="H73" i="1" s="1"/>
  <c r="F74" i="1"/>
  <c r="J248" i="1"/>
  <c r="H215" i="1"/>
  <c r="I114" i="1"/>
  <c r="I116" i="1" s="1"/>
  <c r="H114" i="1"/>
  <c r="H116" i="1" s="1"/>
  <c r="G84" i="1"/>
  <c r="G69" i="1"/>
  <c r="F58" i="1"/>
  <c r="G136" i="1"/>
  <c r="J15" i="1"/>
  <c r="I172" i="1"/>
  <c r="I214" i="1"/>
  <c r="K248" i="1"/>
  <c r="H214" i="1"/>
  <c r="E172" i="1"/>
  <c r="H172" i="1"/>
  <c r="I215" i="1"/>
  <c r="J215" i="1"/>
  <c r="H35" i="1"/>
  <c r="K215" i="1"/>
  <c r="G25" i="1"/>
  <c r="G34" i="1" s="1"/>
  <c r="G36" i="1" s="1"/>
  <c r="G19" i="1"/>
  <c r="D40" i="1"/>
  <c r="F40" i="1"/>
  <c r="E40" i="1"/>
  <c r="H20" i="1"/>
  <c r="H19" i="1" s="1"/>
  <c r="K28" i="1"/>
  <c r="F34" i="1"/>
  <c r="F36" i="1" s="1"/>
  <c r="F29" i="1"/>
  <c r="G173" i="1"/>
  <c r="G215" i="1"/>
  <c r="E173" i="1"/>
  <c r="G50" i="1" l="1"/>
  <c r="H50" i="1" s="1"/>
  <c r="G60" i="1"/>
  <c r="H60" i="1" s="1"/>
  <c r="E34" i="1"/>
  <c r="E36" i="1" s="1"/>
  <c r="D34" i="1"/>
  <c r="D36" i="1" s="1"/>
  <c r="K114" i="1"/>
  <c r="K116" i="1" s="1"/>
  <c r="I20" i="1"/>
  <c r="I19" i="1" s="1"/>
  <c r="E43" i="1"/>
  <c r="E31" i="1"/>
  <c r="E126" i="1" s="1"/>
  <c r="D31" i="1"/>
  <c r="D43" i="1"/>
  <c r="F76" i="1"/>
  <c r="I83" i="1"/>
  <c r="I33" i="1"/>
  <c r="H83" i="1"/>
  <c r="H33" i="1"/>
  <c r="H69" i="1"/>
  <c r="H120" i="1"/>
  <c r="H121" i="1" s="1"/>
  <c r="H87" i="1" s="1"/>
  <c r="I120" i="1"/>
  <c r="I121" i="1" s="1"/>
  <c r="I87" i="1" s="1"/>
  <c r="I73" i="1"/>
  <c r="H84" i="1"/>
  <c r="I35" i="1"/>
  <c r="H183" i="1"/>
  <c r="K15" i="1"/>
  <c r="J172" i="1"/>
  <c r="J214" i="1"/>
  <c r="F31" i="1"/>
  <c r="F175" i="1" s="1"/>
  <c r="F43" i="1"/>
  <c r="H25" i="1"/>
  <c r="G86" i="1" l="1"/>
  <c r="I60" i="1"/>
  <c r="I50" i="1"/>
  <c r="F177" i="1"/>
  <c r="F180" i="1"/>
  <c r="J114" i="1"/>
  <c r="J116" i="1" s="1"/>
  <c r="J83" i="1" s="1"/>
  <c r="J20" i="1"/>
  <c r="J19" i="1" s="1"/>
  <c r="E175" i="1"/>
  <c r="I25" i="1"/>
  <c r="I34" i="1" s="1"/>
  <c r="I36" i="1" s="1"/>
  <c r="D126" i="1"/>
  <c r="D175" i="1"/>
  <c r="K83" i="1"/>
  <c r="K33" i="1"/>
  <c r="K120" i="1"/>
  <c r="K121" i="1" s="1"/>
  <c r="K87" i="1" s="1"/>
  <c r="E177" i="1"/>
  <c r="E180" i="1"/>
  <c r="F126" i="1"/>
  <c r="I69" i="1"/>
  <c r="J73" i="1"/>
  <c r="H85" i="1"/>
  <c r="G85" i="1"/>
  <c r="K172" i="1"/>
  <c r="K214" i="1"/>
  <c r="J35" i="1"/>
  <c r="I84" i="1"/>
  <c r="I183" i="1"/>
  <c r="H86" i="1"/>
  <c r="H34" i="1"/>
  <c r="H36" i="1" s="1"/>
  <c r="K20" i="1"/>
  <c r="K19" i="1" s="1"/>
  <c r="J60" i="1" l="1"/>
  <c r="K60" i="1" s="1"/>
  <c r="J50" i="1"/>
  <c r="K50" i="1" s="1"/>
  <c r="J120" i="1"/>
  <c r="J121" i="1" s="1"/>
  <c r="J87" i="1" s="1"/>
  <c r="J33" i="1"/>
  <c r="J25" i="1"/>
  <c r="D180" i="1"/>
  <c r="D177" i="1"/>
  <c r="J69" i="1"/>
  <c r="I86" i="1"/>
  <c r="J84" i="1"/>
  <c r="J183" i="1"/>
  <c r="K35" i="1"/>
  <c r="I85" i="1"/>
  <c r="K73" i="1"/>
  <c r="K25" i="1"/>
  <c r="K69" i="1" l="1"/>
  <c r="J34" i="1"/>
  <c r="J36" i="1" s="1"/>
  <c r="K183" i="1"/>
  <c r="K84" i="1"/>
  <c r="J86" i="1"/>
  <c r="K34" i="1"/>
  <c r="K36" i="1" s="1"/>
  <c r="J85" i="1" l="1"/>
  <c r="K86" i="1"/>
  <c r="K85" i="1"/>
  <c r="G26" i="1" l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8" i="1"/>
  <c r="H48" i="1"/>
  <c r="I48" i="1"/>
  <c r="J48" i="1"/>
  <c r="K48" i="1"/>
  <c r="G58" i="1"/>
  <c r="H58" i="1"/>
  <c r="I58" i="1"/>
  <c r="J58" i="1"/>
  <c r="K58" i="1"/>
  <c r="G62" i="1"/>
  <c r="H62" i="1"/>
  <c r="I62" i="1"/>
  <c r="J62" i="1"/>
  <c r="K62" i="1"/>
  <c r="G67" i="1"/>
  <c r="H67" i="1"/>
  <c r="I67" i="1"/>
  <c r="J67" i="1"/>
  <c r="K67" i="1"/>
  <c r="G71" i="1"/>
  <c r="H71" i="1"/>
  <c r="I71" i="1"/>
  <c r="J71" i="1"/>
  <c r="K71" i="1"/>
  <c r="G74" i="1"/>
  <c r="H74" i="1"/>
  <c r="I74" i="1"/>
  <c r="J74" i="1"/>
  <c r="K74" i="1"/>
  <c r="G76" i="1"/>
  <c r="H76" i="1"/>
  <c r="I76" i="1"/>
  <c r="J76" i="1"/>
  <c r="K76" i="1"/>
  <c r="G82" i="1"/>
  <c r="H82" i="1"/>
  <c r="I82" i="1"/>
  <c r="J82" i="1"/>
  <c r="K82" i="1"/>
  <c r="G89" i="1"/>
  <c r="H89" i="1"/>
  <c r="I89" i="1"/>
  <c r="J89" i="1"/>
  <c r="K89" i="1"/>
  <c r="G95" i="1"/>
  <c r="H95" i="1"/>
  <c r="I95" i="1"/>
  <c r="J95" i="1"/>
  <c r="K95" i="1"/>
  <c r="G98" i="1"/>
  <c r="H98" i="1"/>
  <c r="I98" i="1"/>
  <c r="J98" i="1"/>
  <c r="K98" i="1"/>
  <c r="G100" i="1"/>
  <c r="H100" i="1"/>
  <c r="I100" i="1"/>
  <c r="J100" i="1"/>
  <c r="K100" i="1"/>
  <c r="H125" i="1"/>
  <c r="I125" i="1"/>
  <c r="J125" i="1"/>
  <c r="K125" i="1"/>
  <c r="G126" i="1"/>
  <c r="H126" i="1"/>
  <c r="I126" i="1"/>
  <c r="J126" i="1"/>
  <c r="K126" i="1"/>
  <c r="G129" i="1"/>
  <c r="H129" i="1"/>
  <c r="I129" i="1"/>
  <c r="J129" i="1"/>
  <c r="K129" i="1"/>
  <c r="H136" i="1"/>
  <c r="I136" i="1"/>
  <c r="J136" i="1"/>
  <c r="K136" i="1"/>
  <c r="G138" i="1"/>
  <c r="H138" i="1"/>
  <c r="I138" i="1"/>
  <c r="J138" i="1"/>
  <c r="K138" i="1"/>
  <c r="G139" i="1"/>
  <c r="H139" i="1"/>
  <c r="I139" i="1"/>
  <c r="J139" i="1"/>
  <c r="K139" i="1"/>
  <c r="H142" i="1"/>
  <c r="I142" i="1"/>
  <c r="J142" i="1"/>
  <c r="K142" i="1"/>
  <c r="G143" i="1"/>
  <c r="H143" i="1"/>
  <c r="I143" i="1"/>
  <c r="J143" i="1"/>
  <c r="K143" i="1"/>
  <c r="G145" i="1"/>
  <c r="H145" i="1"/>
  <c r="I145" i="1"/>
  <c r="J145" i="1"/>
  <c r="K145" i="1"/>
  <c r="G146" i="1"/>
  <c r="H146" i="1"/>
  <c r="I146" i="1"/>
  <c r="J146" i="1"/>
  <c r="K146" i="1"/>
  <c r="G152" i="1"/>
  <c r="H152" i="1"/>
  <c r="I152" i="1"/>
  <c r="J152" i="1"/>
  <c r="K152" i="1"/>
  <c r="G156" i="1"/>
  <c r="H156" i="1"/>
  <c r="I156" i="1"/>
  <c r="J156" i="1"/>
  <c r="K156" i="1"/>
  <c r="G157" i="1"/>
  <c r="H157" i="1"/>
  <c r="I157" i="1"/>
  <c r="J157" i="1"/>
  <c r="K157" i="1"/>
  <c r="G167" i="1"/>
  <c r="H167" i="1"/>
  <c r="I167" i="1"/>
  <c r="J167" i="1"/>
  <c r="K167" i="1"/>
  <c r="G169" i="1"/>
  <c r="H169" i="1"/>
  <c r="I169" i="1"/>
  <c r="J169" i="1"/>
  <c r="K169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9" i="1"/>
  <c r="H179" i="1"/>
  <c r="I179" i="1"/>
  <c r="J179" i="1"/>
  <c r="K179" i="1"/>
  <c r="G180" i="1"/>
  <c r="H180" i="1"/>
  <c r="I180" i="1"/>
  <c r="J180" i="1"/>
  <c r="K180" i="1"/>
  <c r="G185" i="1"/>
  <c r="H185" i="1"/>
  <c r="I185" i="1"/>
  <c r="J185" i="1"/>
  <c r="K185" i="1"/>
  <c r="D192" i="1"/>
  <c r="D2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Matan Feldman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3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7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5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29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2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5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1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  <comment ref="G163" authorId="0" shapeId="0" xr:uid="{97D48891-394C-4BD3-9BD7-FEBF026A210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8 pg. 74</t>
        </r>
      </text>
    </comment>
    <comment ref="G185" authorId="1" shapeId="0" xr:uid="{77840F12-6852-48EE-91D5-5D5897474747}">
      <text>
        <r>
          <rPr>
            <sz val="9"/>
            <color indexed="81"/>
            <rFont val="Tahoma"/>
            <family val="2"/>
          </rPr>
          <t>WSP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sharedStrings.xml><?xml version="1.0" encoding="utf-8"?>
<sst xmlns="http://schemas.openxmlformats.org/spreadsheetml/2006/main" count="331" uniqueCount="231">
  <si>
    <t>$ in thousands except per share</t>
  </si>
  <si>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</si>
  <si>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</si>
  <si>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</si>
  <si>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</si>
  <si>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</si>
  <si>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</si>
  <si>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</si>
  <si>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</si>
  <si>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</si>
  <si>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</si>
  <si>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</si>
  <si>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</si>
  <si>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Plug = Revenue - Gross Profit</t>
  </si>
  <si>
    <t>Gross Profit</t>
  </si>
  <si>
    <t>Revenue x Gross Profit Margin forecast</t>
  </si>
  <si>
    <t>Research &amp; development (enter as -)</t>
  </si>
  <si>
    <t>Revenue x R&amp;D % of sales forecast</t>
  </si>
  <si>
    <t>Selling, general &amp; administrative (enter as -)</t>
  </si>
  <si>
    <t>Revenue x SG&amp;A % of sales forecast</t>
  </si>
  <si>
    <t>Operating profit (EBIT)</t>
  </si>
  <si>
    <t>Gross Profit - R&amp;D - SG&amp;A</t>
  </si>
  <si>
    <t>Interest income</t>
  </si>
  <si>
    <t>Reference from interest on cash schedule</t>
  </si>
  <si>
    <t>Interest expense (enter as -)</t>
  </si>
  <si>
    <t>Reference from interest expense schedule</t>
  </si>
  <si>
    <t>Other expense, net (enter as -)</t>
  </si>
  <si>
    <t>Straight-line</t>
  </si>
  <si>
    <t>Pretax profit</t>
  </si>
  <si>
    <t>EBIT + interest income less interest expense less other expense</t>
  </si>
  <si>
    <t>Taxes (enter expense as -)</t>
  </si>
  <si>
    <t>Pre-tax Profit x Tax Rate forecast</t>
  </si>
  <si>
    <t>Net income</t>
  </si>
  <si>
    <t>Pre-tax Profit less taxes</t>
  </si>
  <si>
    <t>Depreciation &amp; amortization</t>
  </si>
  <si>
    <t>Reference from D&amp;A schedule</t>
  </si>
  <si>
    <t>EBITDA</t>
  </si>
  <si>
    <t>Stock based compensation</t>
  </si>
  <si>
    <t>Adjusted EBITDA</t>
  </si>
  <si>
    <t>EBITDA + Stock-based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</si>
  <si>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</si>
  <si>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</si>
  <si>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</si>
  <si>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</si>
  <si>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</si>
  <si>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</si>
  <si>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</si>
  <si>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</si>
  <si>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Reference from 'net change in cash' line on the cash flow statement</t>
  </si>
  <si>
    <t>Accounts receivable</t>
  </si>
  <si>
    <t>Grow in-line with revenue growth</t>
  </si>
  <si>
    <t>Inventories</t>
  </si>
  <si>
    <t>Grow in-line with cost of sales growth</t>
  </si>
  <si>
    <t>Other current assets</t>
  </si>
  <si>
    <t>Property, plant &amp; equipment</t>
  </si>
  <si>
    <t>Reference from PP&amp;E schedule</t>
  </si>
  <si>
    <t>Other non current assets</t>
  </si>
  <si>
    <t>Total assets</t>
  </si>
  <si>
    <t>Accounts payable</t>
  </si>
  <si>
    <t>Other current liabilities</t>
  </si>
  <si>
    <t>Commercial paper / revolver</t>
  </si>
  <si>
    <t>Reference from revolver schedule</t>
  </si>
  <si>
    <t>Long term debt (includes current portion)</t>
  </si>
  <si>
    <t>Other non current liabilities</t>
  </si>
  <si>
    <t>Total liabilities</t>
  </si>
  <si>
    <t>Common stock</t>
  </si>
  <si>
    <t>Increase by stock-based compensation forecasted in the I/S section</t>
  </si>
  <si>
    <t xml:space="preserve">Retained earnings </t>
  </si>
  <si>
    <t>Reference from Retained Earnings schedule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</si>
  <si>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</si>
  <si>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</si>
  <si>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</si>
  <si>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</si>
  <si>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</si>
  <si>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</si>
  <si>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</si>
  <si>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Reference additions to 'other non-current assets' from schedule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</si>
  <si>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</si>
  <si>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</si>
  <si>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</si>
  <si>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</si>
  <si>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</si>
  <si>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</si>
  <si>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</si>
  <si>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</si>
  <si>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</si>
  <si>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</si>
  <si>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</si>
  <si>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</si>
  <si>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 xml:space="preserve">BOP = Previous year EOP </t>
  </si>
  <si>
    <t>Plus: Capital expenditures</t>
  </si>
  <si>
    <t>Less: Depreciation</t>
  </si>
  <si>
    <t>Capex x 'D&amp;A related to PP&amp;E as a % of capex' ratio (below)</t>
  </si>
  <si>
    <t>End of period</t>
  </si>
  <si>
    <t>BOP + Capex - Depreciation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</si>
  <si>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</si>
  <si>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</si>
  <si>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</si>
  <si>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</si>
  <si>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</si>
  <si>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</si>
  <si>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</si>
  <si>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Assume all D&amp;A not from PP&amp;E is in non-current assets </t>
  </si>
  <si>
    <t xml:space="preserve">Plus: Additions </t>
  </si>
  <si>
    <t>Because we already know the EOP balance, this is a plug: EOP - D&amp;A not from PP&amp;E - BOP</t>
  </si>
  <si>
    <t>Referenced from balance sheet</t>
  </si>
  <si>
    <t>RETAINED EARNINGS</t>
  </si>
  <si>
    <t>Plus: Net income</t>
  </si>
  <si>
    <t>Reference from income statement</t>
  </si>
  <si>
    <t>Less: Dividends</t>
  </si>
  <si>
    <t>Less: Repurchases</t>
  </si>
  <si>
    <t>BOP + net income - dividends - repurchases</t>
  </si>
  <si>
    <t>REVOLVER (MODEL PLUG)</t>
  </si>
  <si>
    <t>Revolver needs analysis</t>
  </si>
  <si>
    <t>Cash at beginning of period (BOP)</t>
  </si>
  <si>
    <t>Reference prior period EOP from B/S</t>
  </si>
  <si>
    <t>Less: Minimum cash balance</t>
  </si>
  <si>
    <t>Plus: Free cash flows generated during period</t>
  </si>
  <si>
    <r>
      <t xml:space="preserve">CFO + CFI + CFF </t>
    </r>
    <r>
      <rPr>
        <u/>
        <sz val="11"/>
        <color theme="1"/>
        <rFont val="Aptos Narrow"/>
        <family val="2"/>
        <scheme val="minor"/>
      </rPr>
      <t>except revolver</t>
    </r>
  </si>
  <si>
    <t>Equals: Cash available (needed) to pay down (draw from) revolver</t>
  </si>
  <si>
    <t>Commercial paper / Revolver</t>
  </si>
  <si>
    <t>Draw / (paydown)</t>
  </si>
  <si>
    <t xml:space="preserve">Cash (paydown) / additional borrowing from revolver. Paydown not to exceed BOP balance. </t>
  </si>
  <si>
    <t>Discretionary borrowing / (paydown)</t>
  </si>
  <si>
    <t>Debt balance:</t>
  </si>
  <si>
    <t>INTEREST EXPENSE AND INTEREST INCOME</t>
  </si>
  <si>
    <t>Interest expense from revolver/CP + interest expense from long term debt</t>
  </si>
  <si>
    <t>Commercial Paper / Revolver</t>
  </si>
  <si>
    <t>Weighted average interest rate</t>
  </si>
  <si>
    <t>End of period balance (from B/S)</t>
  </si>
  <si>
    <t>Reference from revolver / CP schedule above</t>
  </si>
  <si>
    <t>Interest expense</t>
  </si>
  <si>
    <t>Interest rate x average of BOP &amp; EOP revolver balances (circularity)</t>
  </si>
  <si>
    <t>Reference from B/S</t>
  </si>
  <si>
    <t xml:space="preserve">Interest expense </t>
  </si>
  <si>
    <t>Interest rate x average of BOP &amp; EOP LTD balances</t>
  </si>
  <si>
    <t>Interest rate on cash</t>
  </si>
  <si>
    <t>Weighted average interest rate on cash</t>
  </si>
  <si>
    <t>Interest rate x average of BOP &amp; EOP cash balances (circularity)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</si>
  <si>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</si>
  <si>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</si>
  <si>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</si>
  <si>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</si>
  <si>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</si>
  <si>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</si>
  <si>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</si>
  <si>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</si>
  <si>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</si>
  <si>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</si>
  <si>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</si>
  <si>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</si>
  <si>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</si>
  <si>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</si>
  <si>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>Reference from I/S</t>
  </si>
  <si>
    <t xml:space="preserve">Basic shares </t>
  </si>
  <si>
    <t>Last period basic shares + ($ shares issued - $ shares repurchased)/Current period average share price</t>
  </si>
  <si>
    <t>Basic EPS</t>
  </si>
  <si>
    <t>Net income / Basic shares</t>
  </si>
  <si>
    <t>Diluted Shares</t>
  </si>
  <si>
    <t>Basic shares + Dilutive securities</t>
  </si>
  <si>
    <t>Diluted EPS</t>
  </si>
  <si>
    <t>Net income/Diluted Shares</t>
  </si>
  <si>
    <t>$ amount of shares repurchased</t>
  </si>
  <si>
    <t>Reference from RE schedule - treasury repurchases (flip sign)</t>
  </si>
  <si>
    <t>$ amount of new shares issued</t>
  </si>
  <si>
    <t xml:space="preserve">Reference SBC from I/S 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</si>
  <si>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</si>
  <si>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</si>
  <si>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</si>
  <si>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</si>
  <si>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</si>
  <si>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</si>
  <si>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</si>
  <si>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TS Assumption</t>
  </si>
  <si>
    <t>Assumption grow in line with revenue</t>
  </si>
  <si>
    <t>Comment</t>
  </si>
  <si>
    <t>Morningstar Report Assumption</t>
  </si>
  <si>
    <t>Less: Amortization of intangible assets</t>
  </si>
  <si>
    <t>Straight line assumption</t>
  </si>
  <si>
    <t>Straight Line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</si>
  <si>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</si>
  <si>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</si>
  <si>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</si>
  <si>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</si>
  <si>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</si>
  <si>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</si>
  <si>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</si>
  <si>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 xml:space="preserve">Less: capitalized interest </t>
  </si>
  <si>
    <t xml:space="preserve">Gross interest expense </t>
  </si>
  <si>
    <t>Average cash balance (from B/S)</t>
  </si>
  <si>
    <t>Average LTD balance (from B/S)</t>
  </si>
  <si>
    <t>Circularity</t>
  </si>
  <si>
    <t>Straight line</t>
  </si>
  <si>
    <t>TS assumption</t>
  </si>
  <si>
    <t xml:space="preserve">TS Assumption </t>
  </si>
  <si>
    <t>Straight line from 2025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</si>
  <si>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</si>
  <si>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</si>
  <si>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</si>
  <si>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</si>
  <si>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</si>
  <si>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</si>
  <si>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</si>
  <si>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</si>
  <si>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</si>
  <si>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</si>
  <si>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Trailing diluted EPS * Target P/E</t>
  </si>
  <si>
    <t>Analyst Case</t>
  </si>
  <si>
    <t>Morningstar estimates</t>
  </si>
  <si>
    <t>Analyst</t>
  </si>
  <si>
    <t>Bottom up revenue based on sales and demand reported in 10-k</t>
  </si>
  <si>
    <t>TS assumption: straight-line</t>
  </si>
  <si>
    <t>Contribution Margin</t>
  </si>
  <si>
    <t>Prior year * (1+g)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</si>
  <si>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</si>
  <si>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</si>
  <si>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</si>
  <si>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</si>
  <si>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</si>
  <si>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</si>
  <si>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</si>
  <si>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</si>
  <si>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Morningstar estimate with 20% contribution margin to overall revenues</t>
  </si>
  <si>
    <t>Morningstar estimate with 80% contribution margin to overall revenues</t>
  </si>
  <si>
    <t>Multiplies sum of DRAM and NAND sales by 1.008 maintaining a small contribution margin for MU's other revenues based on 2025.</t>
  </si>
  <si>
    <t>Imported from scenario analysis</t>
  </si>
  <si>
    <t>First forecast year Diluted EPS sensitivity</t>
  </si>
  <si>
    <t>Base Case</t>
  </si>
  <si>
    <t>Based on Morningstar estimates through 2027; straight-line thereafter</t>
  </si>
  <si>
    <t>Based on Morningstar estimate for 2026 stepped down thereafter</t>
  </si>
  <si>
    <t>Bit Demand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</si>
</sst>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#,##0.00_);\(#,##0.00\);@_)"/>
    <numFmt numFmtId="241" formatCode="0\P;[Red]0\P"/>
  </numFmts>
  <fonts count="9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210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90" fillId="0" borderId="0" applyFont="0" applyFill="0" applyBorder="0" applyAlignment="0" applyProtection="0"/>
  </cellStyleXfs>
  <cellXfs count="170">
    <xf numFmtId="0" fontId="0" fillId="0" borderId="0" xfId="0"/>
    <xf numFmtId="0" fontId="1" fillId="0" borderId="19" xfId="0" applyFont="1" applyBorder="1"/>
    <xf numFmtId="0" fontId="3" fillId="0" borderId="0" xfId="0" applyFont="1"/>
    <xf numFmtId="14" fontId="63" fillId="0" borderId="0" xfId="0" applyNumberFormat="1" applyFont="1" applyAlignment="1">
      <alignment horizontal="left"/>
    </xf>
    <xf numFmtId="37" fontId="2" fillId="0" borderId="0" xfId="0" applyNumberFormat="1" applyFont="1"/>
    <xf numFmtId="164" fontId="0" fillId="0" borderId="0" xfId="0" applyNumberFormat="1"/>
    <xf numFmtId="0" fontId="1" fillId="0" borderId="1" xfId="0" applyFont="1" applyBorder="1"/>
    <xf numFmtId="0" fontId="64" fillId="0" borderId="1" xfId="0" applyFont="1" applyBorder="1"/>
    <xf numFmtId="0" fontId="0" fillId="0" borderId="1" xfId="0" applyBorder="1"/>
    <xf numFmtId="221" fontId="1" fillId="0" borderId="0" xfId="0" applyNumberFormat="1" applyFont="1"/>
    <xf numFmtId="222" fontId="1" fillId="0" borderId="0" xfId="0" applyNumberFormat="1" applyFont="1"/>
    <xf numFmtId="0" fontId="65" fillId="0" borderId="1" xfId="0" applyFont="1" applyBorder="1"/>
    <xf numFmtId="223" fontId="65" fillId="0" borderId="1" xfId="0" applyNumberFormat="1" applyFont="1" applyBorder="1"/>
    <xf numFmtId="0" fontId="65" fillId="0" borderId="0" xfId="0" applyFont="1"/>
    <xf numFmtId="223" fontId="66" fillId="0" borderId="0" xfId="0" applyNumberFormat="1" applyFont="1"/>
    <xf numFmtId="223" fontId="65" fillId="0" borderId="0" xfId="0" applyNumberFormat="1" applyFont="1"/>
    <xf numFmtId="37" fontId="3" fillId="0" borderId="0" xfId="0" applyNumberFormat="1" applyFont="1"/>
    <xf numFmtId="0" fontId="1" fillId="0" borderId="0" xfId="0" applyFont="1"/>
    <xf numFmtId="37" fontId="61" fillId="0" borderId="0" xfId="0" applyNumberFormat="1" applyFont="1"/>
    <xf numFmtId="37" fontId="0" fillId="0" borderId="0" xfId="0" applyNumberFormat="1"/>
    <xf numFmtId="0" fontId="67" fillId="0" borderId="0" xfId="0" applyFont="1"/>
    <xf numFmtId="0" fontId="0" fillId="0" borderId="0" xfId="0" applyAlignment="1">
      <alignment horizontal="left" indent="1"/>
    </xf>
    <xf numFmtId="164" fontId="3" fillId="0" borderId="0" xfId="0" applyNumberFormat="1" applyFont="1"/>
    <xf numFmtId="164" fontId="2" fillId="0" borderId="0" xfId="0" applyNumberFormat="1" applyFont="1"/>
    <xf numFmtId="221" fontId="61" fillId="0" borderId="0" xfId="0" applyNumberFormat="1" applyFont="1"/>
    <xf numFmtId="222" fontId="61" fillId="0" borderId="0" xfId="0" applyNumberFormat="1" applyFont="1"/>
    <xf numFmtId="223" fontId="63" fillId="0" borderId="1" xfId="0" applyNumberFormat="1" applyFont="1" applyBorder="1"/>
    <xf numFmtId="14" fontId="65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37" fontId="1" fillId="0" borderId="0" xfId="0" applyNumberFormat="1" applyFont="1"/>
    <xf numFmtId="37" fontId="65" fillId="0" borderId="0" xfId="0" applyNumberFormat="1" applyFont="1"/>
    <xf numFmtId="0" fontId="0" fillId="0" borderId="0" xfId="0" quotePrefix="1" applyAlignment="1">
      <alignment horizontal="left" indent="1"/>
    </xf>
    <xf numFmtId="164" fontId="0" fillId="0" borderId="1" xfId="0" applyNumberFormat="1" applyBorder="1"/>
    <xf numFmtId="9" fontId="2" fillId="0" borderId="1" xfId="0" applyNumberFormat="1" applyFont="1" applyBorder="1"/>
    <xf numFmtId="3" fontId="0" fillId="0" borderId="0" xfId="0" applyNumberFormat="1"/>
    <xf numFmtId="0" fontId="1" fillId="0" borderId="0" xfId="0" applyFont="1" applyAlignment="1">
      <alignment horizontal="left" indent="1"/>
    </xf>
    <xf numFmtId="10" fontId="2" fillId="0" borderId="0" xfId="0" applyNumberFormat="1" applyFont="1"/>
    <xf numFmtId="225" fontId="2" fillId="0" borderId="0" xfId="0" applyNumberFormat="1" applyFont="1"/>
    <xf numFmtId="4" fontId="0" fillId="0" borderId="0" xfId="0" applyNumberFormat="1"/>
    <xf numFmtId="0" fontId="67" fillId="0" borderId="0" xfId="0" applyFont="1" applyAlignment="1">
      <alignment horizontal="left" indent="1"/>
    </xf>
    <xf numFmtId="0" fontId="0" fillId="0" borderId="24" xfId="0" applyBorder="1"/>
    <xf numFmtId="37" fontId="3" fillId="0" borderId="0" xfId="0" applyNumberFormat="1" applyFont="1" applyAlignment="1">
      <alignment horizontal="left" indent="1"/>
    </xf>
    <xf numFmtId="37" fontId="1" fillId="0" borderId="1" xfId="0" applyNumberFormat="1" applyFont="1" applyBorder="1"/>
    <xf numFmtId="37" fontId="1" fillId="0" borderId="1" xfId="0" applyNumberFormat="1" applyFont="1" applyBorder="1" applyAlignment="1">
      <alignment horizontal="left"/>
    </xf>
    <xf numFmtId="222" fontId="1" fillId="0" borderId="20" xfId="0" applyNumberFormat="1" applyFont="1" applyBorder="1"/>
    <xf numFmtId="0" fontId="0" fillId="0" borderId="20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19" xfId="0" applyBorder="1"/>
    <xf numFmtId="0" fontId="0" fillId="0" borderId="0" xfId="0" applyAlignment="1">
      <alignment horizontal="left" indent="2"/>
    </xf>
    <xf numFmtId="226" fontId="0" fillId="0" borderId="0" xfId="0" applyNumberFormat="1"/>
    <xf numFmtId="0" fontId="1" fillId="0" borderId="5" xfId="0" applyFont="1" applyBorder="1"/>
    <xf numFmtId="9" fontId="65" fillId="0" borderId="0" xfId="0" applyNumberFormat="1" applyFont="1"/>
    <xf numFmtId="194" fontId="65" fillId="0" borderId="0" xfId="0" applyNumberFormat="1" applyFont="1"/>
    <xf numFmtId="0" fontId="0" fillId="0" borderId="0" xfId="0" quotePrefix="1"/>
    <xf numFmtId="234" fontId="2" fillId="37" borderId="0" xfId="0" applyNumberFormat="1" applyFont="1" applyFill="1"/>
    <xf numFmtId="223" fontId="65" fillId="0" borderId="5" xfId="0" applyNumberFormat="1" applyFont="1" applyBorder="1"/>
    <xf numFmtId="3" fontId="2" fillId="0" borderId="0" xfId="0" applyNumberFormat="1" applyFont="1"/>
    <xf numFmtId="37" fontId="2" fillId="37" borderId="0" xfId="0" applyNumberFormat="1" applyFont="1" applyFill="1"/>
    <xf numFmtId="37" fontId="0" fillId="37" borderId="0" xfId="0" applyNumberFormat="1" applyFill="1"/>
    <xf numFmtId="234" fontId="0" fillId="0" borderId="0" xfId="0" applyNumberFormat="1"/>
    <xf numFmtId="0" fontId="83" fillId="0" borderId="0" xfId="0" applyFont="1" applyAlignment="1">
      <alignment horizontal="left"/>
    </xf>
    <xf numFmtId="37" fontId="2" fillId="0" borderId="29" xfId="0" applyNumberFormat="1" applyFont="1" applyBorder="1"/>
    <xf numFmtId="0" fontId="0" fillId="0" borderId="5" xfId="0" applyBorder="1"/>
    <xf numFmtId="235" fontId="0" fillId="0" borderId="0" xfId="0" applyNumberFormat="1"/>
    <xf numFmtId="3" fontId="84" fillId="0" borderId="0" xfId="0" applyNumberFormat="1" applyFont="1"/>
    <xf numFmtId="0" fontId="0" fillId="0" borderId="29" xfId="0" applyBorder="1"/>
    <xf numFmtId="37" fontId="0" fillId="0" borderId="29" xfId="0" applyNumberFormat="1" applyBorder="1"/>
    <xf numFmtId="0" fontId="0" fillId="0" borderId="29" xfId="0" quotePrefix="1" applyBorder="1" applyAlignment="1">
      <alignment horizontal="left" indent="1"/>
    </xf>
    <xf numFmtId="0" fontId="0" fillId="0" borderId="29" xfId="0" applyBorder="1" applyAlignment="1">
      <alignment horizontal="left" indent="1"/>
    </xf>
    <xf numFmtId="164" fontId="3" fillId="0" borderId="30" xfId="0" applyNumberFormat="1" applyFont="1" applyBorder="1"/>
    <xf numFmtId="0" fontId="0" fillId="0" borderId="23" xfId="0" applyBorder="1"/>
    <xf numFmtId="164" fontId="0" fillId="0" borderId="23" xfId="0" applyNumberFormat="1" applyBorder="1"/>
    <xf numFmtId="164" fontId="3" fillId="0" borderId="23" xfId="0" applyNumberFormat="1" applyFont="1" applyBorder="1"/>
    <xf numFmtId="0" fontId="1" fillId="0" borderId="32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8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23" fontId="2" fillId="0" borderId="0" xfId="0" applyNumberFormat="1" applyFont="1" applyAlignment="1">
      <alignment horizontal="center"/>
    </xf>
    <xf numFmtId="0" fontId="86" fillId="0" borderId="35" xfId="0" applyFont="1" applyBorder="1" applyAlignment="1">
      <alignment horizontal="left" indent="2"/>
    </xf>
    <xf numFmtId="37" fontId="85" fillId="0" borderId="36" xfId="0" applyNumberFormat="1" applyFont="1" applyBorder="1" applyAlignment="1">
      <alignment horizontal="right"/>
    </xf>
    <xf numFmtId="37" fontId="85" fillId="0" borderId="37" xfId="0" applyNumberFormat="1" applyFont="1" applyBorder="1" applyAlignment="1">
      <alignment horizontal="right"/>
    </xf>
    <xf numFmtId="0" fontId="86" fillId="0" borderId="0" xfId="0" applyFont="1" applyAlignment="1">
      <alignment horizontal="center"/>
    </xf>
    <xf numFmtId="37" fontId="85" fillId="0" borderId="0" xfId="0" applyNumberFormat="1" applyFont="1" applyAlignment="1">
      <alignment horizontal="right"/>
    </xf>
    <xf numFmtId="37" fontId="0" fillId="0" borderId="36" xfId="0" applyNumberFormat="1" applyBorder="1"/>
    <xf numFmtId="0" fontId="0" fillId="0" borderId="36" xfId="0" applyBorder="1"/>
    <xf numFmtId="37" fontId="0" fillId="0" borderId="32" xfId="0" applyNumberFormat="1" applyBorder="1"/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/>
    <xf numFmtId="201" fontId="2" fillId="0" borderId="0" xfId="0" applyNumberFormat="1" applyFont="1" applyAlignment="1">
      <alignment horizontal="center"/>
    </xf>
    <xf numFmtId="164" fontId="3" fillId="37" borderId="0" xfId="0" applyNumberFormat="1" applyFont="1" applyFill="1"/>
    <xf numFmtId="37" fontId="3" fillId="37" borderId="0" xfId="0" applyNumberFormat="1" applyFont="1" applyFill="1"/>
    <xf numFmtId="37" fontId="61" fillId="37" borderId="0" xfId="0" applyNumberFormat="1" applyFont="1" applyFill="1"/>
    <xf numFmtId="0" fontId="0" fillId="37" borderId="0" xfId="0" applyFill="1"/>
    <xf numFmtId="37" fontId="1" fillId="37" borderId="0" xfId="0" applyNumberFormat="1" applyFont="1" applyFill="1"/>
    <xf numFmtId="37" fontId="0" fillId="37" borderId="29" xfId="0" applyNumberFormat="1" applyFill="1" applyBorder="1"/>
    <xf numFmtId="37" fontId="3" fillId="37" borderId="29" xfId="0" applyNumberFormat="1" applyFont="1" applyFill="1" applyBorder="1"/>
    <xf numFmtId="37" fontId="3" fillId="37" borderId="32" xfId="0" applyNumberFormat="1" applyFont="1" applyFill="1" applyBorder="1"/>
    <xf numFmtId="37" fontId="1" fillId="0" borderId="29" xfId="0" applyNumberFormat="1" applyFont="1" applyBorder="1"/>
    <xf numFmtId="0" fontId="61" fillId="0" borderId="33" xfId="0" applyFont="1" applyBorder="1" applyAlignment="1">
      <alignment horizontal="left" indent="1"/>
    </xf>
    <xf numFmtId="0" fontId="87" fillId="0" borderId="39" xfId="0" applyFont="1" applyBorder="1" applyAlignment="1">
      <alignment horizontal="center"/>
    </xf>
    <xf numFmtId="0" fontId="0" fillId="0" borderId="38" xfId="0" applyBorder="1"/>
    <xf numFmtId="234" fontId="2" fillId="0" borderId="38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234" fontId="2" fillId="0" borderId="40" xfId="0" applyNumberFormat="1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165" fontId="3" fillId="0" borderId="0" xfId="0" applyNumberFormat="1" applyFont="1"/>
    <xf numFmtId="6" fontId="0" fillId="0" borderId="0" xfId="0" applyNumberFormat="1"/>
    <xf numFmtId="165" fontId="2" fillId="0" borderId="30" xfId="0" applyNumberFormat="1" applyFont="1" applyBorder="1"/>
    <xf numFmtId="165" fontId="2" fillId="0" borderId="0" xfId="0" applyNumberFormat="1" applyFont="1"/>
    <xf numFmtId="165" fontId="2" fillId="0" borderId="23" xfId="0" applyNumberFormat="1" applyFont="1" applyBorder="1"/>
    <xf numFmtId="0" fontId="1" fillId="0" borderId="29" xfId="0" applyFont="1" applyBorder="1"/>
    <xf numFmtId="0" fontId="0" fillId="0" borderId="31" xfId="0" applyBorder="1"/>
    <xf numFmtId="0" fontId="0" fillId="0" borderId="34" xfId="0" applyBorder="1"/>
    <xf numFmtId="223" fontId="63" fillId="0" borderId="0" xfId="0" applyNumberFormat="1" applyFont="1"/>
    <xf numFmtId="0" fontId="61" fillId="0" borderId="43" xfId="0" applyFont="1" applyBorder="1"/>
    <xf numFmtId="0" fontId="3" fillId="0" borderId="43" xfId="0" applyFont="1" applyBorder="1"/>
    <xf numFmtId="0" fontId="88" fillId="0" borderId="0" xfId="0" applyFont="1"/>
    <xf numFmtId="234" fontId="63" fillId="0" borderId="0" xfId="0" applyNumberFormat="1" applyFont="1"/>
    <xf numFmtId="8" fontId="0" fillId="0" borderId="0" xfId="0" applyNumberFormat="1"/>
    <xf numFmtId="9" fontId="2" fillId="0" borderId="0" xfId="0" applyNumberFormat="1" applyFont="1"/>
    <xf numFmtId="7" fontId="61" fillId="37" borderId="0" xfId="0" applyNumberFormat="1" applyFont="1" applyFill="1"/>
    <xf numFmtId="37" fontId="3" fillId="0" borderId="23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Continuous"/>
    </xf>
    <xf numFmtId="5" fontId="3" fillId="0" borderId="26" xfId="0" applyNumberFormat="1" applyFont="1" applyBorder="1"/>
    <xf numFmtId="236" fontId="2" fillId="0" borderId="27" xfId="0" applyNumberFormat="1" applyFont="1" applyBorder="1"/>
    <xf numFmtId="237" fontId="2" fillId="0" borderId="28" xfId="0" applyNumberFormat="1" applyFont="1" applyBorder="1"/>
    <xf numFmtId="224" fontId="0" fillId="0" borderId="0" xfId="0" applyNumberFormat="1"/>
    <xf numFmtId="164" fontId="0" fillId="0" borderId="38" xfId="0" applyNumberFormat="1" applyBorder="1" applyAlignment="1">
      <alignment horizontal="center"/>
    </xf>
    <xf numFmtId="9" fontId="0" fillId="0" borderId="0" xfId="0" applyNumberFormat="1"/>
    <xf numFmtId="37" fontId="3" fillId="0" borderId="30" xfId="0" applyNumberFormat="1" applyFont="1" applyBorder="1"/>
    <xf numFmtId="37" fontId="2" fillId="0" borderId="23" xfId="0" applyNumberFormat="1" applyFont="1" applyBorder="1"/>
    <xf numFmtId="0" fontId="0" fillId="37" borderId="0" xfId="0" applyFill="1" applyAlignment="1">
      <alignment horizontal="left" indent="1"/>
    </xf>
    <xf numFmtId="0" fontId="1" fillId="37" borderId="0" xfId="0" applyFont="1" applyFill="1" applyAlignment="1">
      <alignment horizontal="left" indent="1"/>
    </xf>
    <xf numFmtId="0" fontId="0" fillId="37" borderId="0" xfId="0" applyFill="1" applyAlignment="1">
      <alignment horizontal="left" indent="2"/>
    </xf>
    <xf numFmtId="0" fontId="0" fillId="37" borderId="38" xfId="0" applyFill="1" applyBorder="1" applyAlignment="1">
      <alignment horizontal="center"/>
    </xf>
    <xf numFmtId="0" fontId="1" fillId="37" borderId="0" xfId="0" applyFont="1" applyFill="1" applyAlignment="1">
      <alignment horizontal="left"/>
    </xf>
    <xf numFmtId="234" fontId="2" fillId="37" borderId="38" xfId="0" applyNumberFormat="1" applyFont="1" applyFill="1" applyBorder="1" applyAlignment="1">
      <alignment horizontal="center"/>
    </xf>
    <xf numFmtId="165" fontId="3" fillId="0" borderId="33" xfId="0" applyNumberFormat="1" applyFont="1" applyBorder="1"/>
    <xf numFmtId="37" fontId="1" fillId="0" borderId="0" xfId="0" quotePrefix="1" applyNumberFormat="1" applyFont="1"/>
    <xf numFmtId="194" fontId="2" fillId="37" borderId="0" xfId="0" applyNumberFormat="1" applyFont="1" applyFill="1"/>
    <xf numFmtId="238" fontId="2" fillId="37" borderId="0" xfId="0" applyNumberFormat="1" applyFont="1" applyFill="1"/>
    <xf numFmtId="201" fontId="1" fillId="0" borderId="42" xfId="0" applyNumberFormat="1" applyFont="1" applyBorder="1"/>
    <xf numFmtId="201" fontId="1" fillId="0" borderId="0" xfId="0" applyNumberFormat="1" applyFont="1"/>
    <xf numFmtId="9" fontId="0" fillId="37" borderId="38" xfId="0" applyNumberFormat="1" applyFill="1" applyBorder="1"/>
    <xf numFmtId="10" fontId="2" fillId="37" borderId="38" xfId="209" applyNumberFormat="1" applyFont="1" applyFill="1" applyBorder="1" applyAlignment="1">
      <alignment horizontal="center"/>
    </xf>
    <xf numFmtId="7" fontId="2" fillId="37" borderId="0" xfId="0" applyNumberFormat="1" applyFont="1" applyFill="1"/>
    <xf numFmtId="7" fontId="0" fillId="0" borderId="0" xfId="0" applyNumberFormat="1"/>
    <xf numFmtId="239" fontId="0" fillId="37" borderId="0" xfId="0" applyNumberFormat="1" applyFill="1"/>
    <xf numFmtId="237" fontId="2" fillId="0" borderId="0" xfId="0" applyNumberFormat="1" applyFont="1"/>
    <xf numFmtId="224" fontId="1" fillId="0" borderId="0" xfId="0" applyNumberFormat="1" applyFont="1" applyAlignment="1">
      <alignment horizontal="centerContinuous"/>
    </xf>
    <xf numFmtId="224" fontId="0" fillId="0" borderId="0" xfId="0" applyNumberFormat="1" applyAlignment="1">
      <alignment horizontal="centerContinuous"/>
    </xf>
    <xf numFmtId="7" fontId="3" fillId="0" borderId="26" xfId="0" applyNumberFormat="1" applyFont="1" applyBorder="1"/>
    <xf numFmtId="240" fontId="0" fillId="0" borderId="0" xfId="0" applyNumberFormat="1"/>
    <xf numFmtId="164" fontId="0" fillId="37" borderId="38" xfId="0" applyNumberFormat="1" applyFill="1" applyBorder="1" applyAlignment="1">
      <alignment horizontal="center"/>
    </xf>
    <xf numFmtId="241" fontId="61" fillId="0" borderId="0" xfId="0" applyNumberFormat="1" applyFont="1"/>
    <xf numFmtId="9" fontId="2" fillId="0" borderId="0" xfId="209" applyFont="1"/>
    <xf numFmtId="9" fontId="2" fillId="0" borderId="45" xfId="209" applyFont="1" applyBorder="1"/>
    <xf numFmtId="9" fontId="2" fillId="0" borderId="46" xfId="209" applyFont="1" applyBorder="1"/>
    <xf numFmtId="9" fontId="3" fillId="0" borderId="30" xfId="209" applyFont="1" applyBorder="1"/>
    <xf numFmtId="9" fontId="2" fillId="0" borderId="47" xfId="209" applyFont="1" applyBorder="1"/>
    <xf numFmtId="9" fontId="2" fillId="0" borderId="48" xfId="209" applyFont="1" applyBorder="1"/>
    <xf numFmtId="221" fontId="61" fillId="0" borderId="44" xfId="0" applyNumberFormat="1" applyFont="1" applyBorder="1"/>
    <xf numFmtId="9" fontId="3" fillId="0" borderId="0" xfId="209" applyFont="1"/>
    <xf numFmtId="9" fontId="3" fillId="0" borderId="23" xfId="209" applyFont="1" applyBorder="1"/>
    <xf numFmtId="224" fontId="91" fillId="37" borderId="0" xfId="0" applyNumberFormat="1" applyFont="1" applyFill="1"/>
    <xf numFmtId="10" fontId="0" fillId="37" borderId="0" xfId="209" applyNumberFormat="1" applyFont="1" applyFill="1"/>
  </cellXfs>
  <cellStyles count="210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0EA2F9-C87A-428F-8C53-0B6B7B1B836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V248"/>
  <sheetViews>
    <sheetView tabSelected="1" zoomScale="85" zoomScaleNormal="85" workbookViewId="0"/>
  </sheetViews>
  <sheetFormatPr defaultRowHeight="15"/>
  <cols>
    <col min="1" max="2" width="1.7109375" customWidth="1"/>
    <col min="3" max="3" width="56.7109375" bestFit="1" customWidth="1"/>
    <col min="4" max="4" width="12.5703125" bestFit="1" customWidth="1"/>
    <col min="5" max="7" width="11.5703125" bestFit="1" customWidth="1"/>
    <col min="9" max="9" width="9.28515625" bestFit="1" customWidth="1"/>
    <col min="10" max="11" width="10.42578125" bestFit="1" customWidth="1"/>
    <col min="12" max="12" width="18.85546875" bestFit="1" customWidth="1"/>
    <col min="13" max="13" width="10" bestFit="1" customWidth="1"/>
  </cols>
  <sheetData>
    <row r="1" spans="2:18" ht="15.75" thickBot="1"/>
    <row r="2" spans="2:18" ht="15.75" thickBot="1">
      <c r="C2" s="1" t="str">
        <f>"Financial Statement Model for "&amp;D5</f>
        <v>Financial Statement Model for Micron</v>
      </c>
      <c r="D2" s="49"/>
      <c r="E2" s="49"/>
      <c r="F2" s="49"/>
      <c r="G2" s="49"/>
      <c r="H2" s="49"/>
      <c r="I2" s="49"/>
      <c r="J2" s="49"/>
      <c r="K2" s="49"/>
    </row>
    <row r="3" spans="2:18">
      <c r="C3" s="3" t="s">
        <v>0</v>
      </c>
      <c r="D3" s="41"/>
      <c r="E3" s="41"/>
      <c r="F3" s="41"/>
      <c r="G3" s="41"/>
      <c r="H3" s="41"/>
    </row>
    <row r="5" spans="2:18">
      <c r="C5" s="2" t="s">
        <v>1</v>
      </c>
      <c r="D5" s="76" t="s">
        <v>170</v>
      </c>
    </row>
    <row r="6" spans="2:18">
      <c r="C6" s="2" t="s">
        <v>2</v>
      </c>
      <c r="D6" s="76" t="s">
        <v>171</v>
      </c>
    </row>
    <row r="7" spans="2:18">
      <c r="C7" t="s">
        <v>3</v>
      </c>
      <c r="D7" s="77">
        <v>1</v>
      </c>
    </row>
    <row r="8" spans="2:18">
      <c r="C8" t="s">
        <v>5</v>
      </c>
      <c r="D8" s="79">
        <v>45937</v>
      </c>
    </row>
    <row r="9" spans="2:18">
      <c r="C9" t="s">
        <v>4</v>
      </c>
      <c r="D9" s="78">
        <v>185.69</v>
      </c>
    </row>
    <row r="10" spans="2:18">
      <c r="C10" s="2" t="s">
        <v>6</v>
      </c>
      <c r="D10" s="80">
        <v>45897</v>
      </c>
      <c r="G10" s="132"/>
    </row>
    <row r="11" spans="2:18">
      <c r="C11" t="s">
        <v>7</v>
      </c>
      <c r="D11" s="91">
        <v>1122.4659999999999</v>
      </c>
    </row>
    <row r="12" spans="2:18">
      <c r="C12" t="s">
        <v>200</v>
      </c>
      <c r="D12" s="91" t="s">
        <v>227</v>
      </c>
    </row>
    <row r="14" spans="2:18">
      <c r="B14" t="s">
        <v>172</v>
      </c>
      <c r="C14" s="6" t="s">
        <v>8</v>
      </c>
      <c r="D14" s="8"/>
      <c r="E14" s="8"/>
      <c r="F14" s="8"/>
      <c r="G14" s="8"/>
      <c r="H14" s="8"/>
      <c r="I14" s="8"/>
      <c r="J14" s="8"/>
      <c r="K14" s="8"/>
    </row>
    <row r="15" spans="2:18">
      <c r="C15" t="s">
        <v>9</v>
      </c>
      <c r="D15" s="9">
        <f>E15-1</f>
        <v>2023</v>
      </c>
      <c r="E15" s="9">
        <f>F15-1</f>
        <v>2024</v>
      </c>
      <c r="F15" s="9">
        <v>2025</v>
      </c>
      <c r="G15" s="10">
        <v>2026</v>
      </c>
      <c r="H15" s="10">
        <f>G15+1</f>
        <v>2027</v>
      </c>
      <c r="I15" s="10">
        <f>H15+1</f>
        <v>2028</v>
      </c>
      <c r="J15" s="10">
        <f>I15+1</f>
        <v>2029</v>
      </c>
      <c r="K15" s="10">
        <f>J15+1</f>
        <v>2030</v>
      </c>
    </row>
    <row r="16" spans="2:18">
      <c r="C16" s="11" t="s">
        <v>10</v>
      </c>
      <c r="D16" s="57">
        <f>DATE(2024,8,29)-364</f>
        <v>45169</v>
      </c>
      <c r="E16" s="57">
        <f>DATE(2025,8,28)-364</f>
        <v>45533</v>
      </c>
      <c r="F16" s="57">
        <f>D10</f>
        <v>45897</v>
      </c>
      <c r="G16" s="57">
        <f>DATE(2025,8,28)+364</f>
        <v>46261</v>
      </c>
      <c r="H16" s="57">
        <f>DATE(2026,8,27)+364</f>
        <v>46625</v>
      </c>
      <c r="I16" s="57">
        <f>DATE(2027,8,26)+371</f>
        <v>46996</v>
      </c>
      <c r="J16" s="57">
        <f>DATE(2028,8,31)+364</f>
        <v>47360</v>
      </c>
      <c r="K16" s="57">
        <f>DATE(2029,8,30)+364</f>
        <v>47724</v>
      </c>
      <c r="M16" s="52" t="s">
        <v>175</v>
      </c>
      <c r="N16" s="64"/>
      <c r="O16" s="64"/>
      <c r="P16" s="64"/>
      <c r="Q16" s="64"/>
      <c r="R16" s="64"/>
    </row>
    <row r="17" spans="3:14">
      <c r="C17" s="13"/>
      <c r="D17" s="14"/>
      <c r="E17" s="15"/>
      <c r="F17" s="15"/>
      <c r="G17" s="53"/>
      <c r="H17" s="54"/>
      <c r="I17" s="54"/>
      <c r="J17" s="15"/>
      <c r="K17" s="15"/>
    </row>
    <row r="18" spans="3:14">
      <c r="C18" t="s">
        <v>11</v>
      </c>
      <c r="D18" s="4">
        <v>15540</v>
      </c>
      <c r="E18" s="4">
        <v>25111</v>
      </c>
      <c r="F18" s="4">
        <v>37378</v>
      </c>
      <c r="G18" s="16">
        <f ca="1">F18*(1+G39)</f>
        <v>54518.177951999991</v>
      </c>
      <c r="H18" s="16">
        <f t="shared" ref="H18:K18" ca="1" si="0">G18*(1+H39)</f>
        <v>67519.534147228798</v>
      </c>
      <c r="I18" s="16">
        <f t="shared" ca="1" si="0"/>
        <v>74513.922511611614</v>
      </c>
      <c r="J18" s="16">
        <f t="shared" ca="1" si="0"/>
        <v>78893.68434811155</v>
      </c>
      <c r="K18" s="16">
        <f t="shared" ca="1" si="0"/>
        <v>83389.785898010741</v>
      </c>
      <c r="M18" t="s">
        <v>213</v>
      </c>
    </row>
    <row r="19" spans="3:14">
      <c r="C19" t="s">
        <v>12</v>
      </c>
      <c r="D19" s="4">
        <v>-16956</v>
      </c>
      <c r="E19" s="4">
        <v>-19498</v>
      </c>
      <c r="F19" s="4">
        <v>-22505</v>
      </c>
      <c r="G19" s="16">
        <f ca="1">G20-G18</f>
        <v>-26375.894493177595</v>
      </c>
      <c r="H19" s="16">
        <f t="shared" ref="H19:K19" ca="1" si="1">H20-H18</f>
        <v>-36717.122669263023</v>
      </c>
      <c r="I19" s="16">
        <f t="shared" ca="1" si="1"/>
        <v>-44991.506412511095</v>
      </c>
      <c r="J19" s="16">
        <f t="shared" ca="1" si="1"/>
        <v>-52369.627670276444</v>
      </c>
      <c r="K19" s="16">
        <f t="shared" ca="1" si="1"/>
        <v>-60357.527032980171</v>
      </c>
      <c r="M19" t="s">
        <v>13</v>
      </c>
    </row>
    <row r="20" spans="3:14">
      <c r="C20" s="17" t="s">
        <v>14</v>
      </c>
      <c r="D20" s="18">
        <f t="shared" ref="D20:F20" si="2">SUM(D18:D19)</f>
        <v>-1416</v>
      </c>
      <c r="E20" s="18">
        <f t="shared" si="2"/>
        <v>5613</v>
      </c>
      <c r="F20" s="18">
        <f t="shared" si="2"/>
        <v>14873</v>
      </c>
      <c r="G20" s="18">
        <f ca="1">G18*G40</f>
        <v>28142.283458822396</v>
      </c>
      <c r="H20" s="18">
        <f t="shared" ref="H20:K20" ca="1" si="3">H18*H40</f>
        <v>30802.411477965776</v>
      </c>
      <c r="I20" s="18">
        <f t="shared" ca="1" si="3"/>
        <v>29522.416099100523</v>
      </c>
      <c r="J20" s="18">
        <f t="shared" ca="1" si="3"/>
        <v>26524.056677835102</v>
      </c>
      <c r="K20" s="18">
        <f t="shared" ca="1" si="3"/>
        <v>23032.258865030566</v>
      </c>
      <c r="M20" s="55" t="s">
        <v>15</v>
      </c>
    </row>
    <row r="21" spans="3:14">
      <c r="C21" t="s">
        <v>16</v>
      </c>
      <c r="D21" s="4">
        <v>-3114</v>
      </c>
      <c r="E21" s="4">
        <v>-3430</v>
      </c>
      <c r="F21" s="4">
        <v>-3798</v>
      </c>
      <c r="G21" s="16">
        <f ca="1">F21*(1+G41)</f>
        <v>-4132.2240000000002</v>
      </c>
      <c r="H21" s="16">
        <f t="shared" ref="H21:K21" ca="1" si="4">G21*(1+H41)</f>
        <v>-4514.0414976000002</v>
      </c>
      <c r="I21" s="16">
        <f t="shared" ca="1" si="4"/>
        <v>-4929.3333153792009</v>
      </c>
      <c r="J21" s="16">
        <f t="shared" ca="1" si="4"/>
        <v>-5382.8319803940876</v>
      </c>
      <c r="K21" s="16">
        <f t="shared" ca="1" si="4"/>
        <v>-5878.0525225903439</v>
      </c>
      <c r="M21" s="55" t="s">
        <v>17</v>
      </c>
    </row>
    <row r="22" spans="3:14">
      <c r="C22" t="s">
        <v>18</v>
      </c>
      <c r="D22" s="4">
        <v>-920</v>
      </c>
      <c r="E22" s="4">
        <v>-1129</v>
      </c>
      <c r="F22" s="4">
        <v>-1205</v>
      </c>
      <c r="G22" s="16">
        <f ca="1">F22*(1+G42)</f>
        <v>-1235.125</v>
      </c>
      <c r="H22" s="16">
        <f t="shared" ref="H22:K22" ca="1" si="5">G22*(1+H42)</f>
        <v>-1266.003125</v>
      </c>
      <c r="I22" s="16">
        <f t="shared" ca="1" si="5"/>
        <v>-1297.6532031249999</v>
      </c>
      <c r="J22" s="16">
        <f t="shared" ca="1" si="5"/>
        <v>-1330.0945332031247</v>
      </c>
      <c r="K22" s="16">
        <f t="shared" ca="1" si="5"/>
        <v>-1363.3468965332027</v>
      </c>
      <c r="M22" s="55" t="s">
        <v>19</v>
      </c>
    </row>
    <row r="23" spans="3:14">
      <c r="C23" t="s">
        <v>198</v>
      </c>
      <c r="D23" s="4">
        <v>-171</v>
      </c>
      <c r="E23" s="4">
        <v>-1</v>
      </c>
      <c r="F23" s="4">
        <v>-39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M23" s="55"/>
    </row>
    <row r="24" spans="3:14">
      <c r="C24" t="s">
        <v>199</v>
      </c>
      <c r="D24" s="4">
        <v>-124</v>
      </c>
      <c r="E24" s="4">
        <v>251</v>
      </c>
      <c r="F24" s="4">
        <v>-61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M24" s="55"/>
    </row>
    <row r="25" spans="3:14">
      <c r="C25" s="17" t="s">
        <v>20</v>
      </c>
      <c r="D25" s="18">
        <f>SUM(D20:D24)</f>
        <v>-5745</v>
      </c>
      <c r="E25" s="18">
        <f t="shared" ref="E25:F25" si="6">SUM(E20:E24)</f>
        <v>1304</v>
      </c>
      <c r="F25" s="18">
        <f t="shared" si="6"/>
        <v>9770</v>
      </c>
      <c r="G25" s="18">
        <f t="shared" ref="G25" ca="1" si="7">SUM(G20:G22)</f>
        <v>22774.934458822398</v>
      </c>
      <c r="H25" s="18">
        <f t="shared" ref="H25" ca="1" si="8">SUM(H20:H22)</f>
        <v>25022.366855365777</v>
      </c>
      <c r="I25" s="18">
        <f t="shared" ref="I25" ca="1" si="9">SUM(I20:I22)</f>
        <v>23295.429580596323</v>
      </c>
      <c r="J25" s="18">
        <f t="shared" ref="J25" ca="1" si="10">SUM(J20:J22)</f>
        <v>19811.130164237889</v>
      </c>
      <c r="K25" s="18">
        <f t="shared" ref="K25" ca="1" si="11">SUM(K20:K22)</f>
        <v>15790.859445907019</v>
      </c>
      <c r="M25" s="17" t="s">
        <v>21</v>
      </c>
    </row>
    <row r="26" spans="3:14">
      <c r="C26" t="s">
        <v>22</v>
      </c>
      <c r="D26" s="4">
        <v>468</v>
      </c>
      <c r="E26" s="4">
        <v>529</v>
      </c>
      <c r="F26" s="4">
        <v>496</v>
      </c>
      <c r="G26" s="16">
        <f ca="1">G169</f>
        <v>663.77892239800769</v>
      </c>
      <c r="H26" s="16">
        <f ca="1">H169</f>
        <v>850.11784479601545</v>
      </c>
      <c r="I26" s="16">
        <f ca="1">I169</f>
        <v>1434.4650564083818</v>
      </c>
      <c r="J26" s="16">
        <f ca="1">J169</f>
        <v>2070.8525325869891</v>
      </c>
      <c r="K26" s="16">
        <f ca="1">K169</f>
        <v>2661.721105858423</v>
      </c>
      <c r="M26" t="s">
        <v>23</v>
      </c>
    </row>
    <row r="27" spans="3:14">
      <c r="C27" t="s">
        <v>24</v>
      </c>
      <c r="D27" s="4">
        <v>-388</v>
      </c>
      <c r="E27" s="4">
        <v>-562</v>
      </c>
      <c r="F27" s="4">
        <v>-477</v>
      </c>
      <c r="G27" s="16">
        <f ca="1">-G152</f>
        <v>-430.14249999999993</v>
      </c>
      <c r="H27" s="16">
        <f t="shared" ref="H27:K27" ca="1" si="12">-H152</f>
        <v>-417.39249999999993</v>
      </c>
      <c r="I27" s="16">
        <f t="shared" ca="1" si="12"/>
        <v>-417.39249999999993</v>
      </c>
      <c r="J27" s="16">
        <f t="shared" ca="1" si="12"/>
        <v>-417.39249999999993</v>
      </c>
      <c r="K27" s="16">
        <f t="shared" ca="1" si="12"/>
        <v>-417.39249999999993</v>
      </c>
      <c r="M27" t="s">
        <v>25</v>
      </c>
    </row>
    <row r="28" spans="3:14">
      <c r="C28" t="s">
        <v>26</v>
      </c>
      <c r="D28" s="4">
        <v>7</v>
      </c>
      <c r="E28" s="4">
        <v>-31</v>
      </c>
      <c r="F28" s="4">
        <v>-135</v>
      </c>
      <c r="G28" s="16">
        <f>F28</f>
        <v>-135</v>
      </c>
      <c r="H28" s="16">
        <f t="shared" ref="H28:K28" si="13">G28</f>
        <v>-135</v>
      </c>
      <c r="I28" s="16">
        <f t="shared" si="13"/>
        <v>-135</v>
      </c>
      <c r="J28" s="16">
        <f t="shared" si="13"/>
        <v>-135</v>
      </c>
      <c r="K28" s="16">
        <f t="shared" si="13"/>
        <v>-135</v>
      </c>
      <c r="M28" t="s">
        <v>27</v>
      </c>
    </row>
    <row r="29" spans="3:14">
      <c r="C29" s="17" t="s">
        <v>28</v>
      </c>
      <c r="D29" s="18">
        <f t="shared" ref="D29:K29" si="14">SUM(D25:D28)</f>
        <v>-5658</v>
      </c>
      <c r="E29" s="18">
        <f t="shared" si="14"/>
        <v>1240</v>
      </c>
      <c r="F29" s="18">
        <f t="shared" si="14"/>
        <v>9654</v>
      </c>
      <c r="G29" s="18">
        <f t="shared" ca="1" si="14"/>
        <v>22873.570881220403</v>
      </c>
      <c r="H29" s="18">
        <f t="shared" ca="1" si="14"/>
        <v>25320.092200161795</v>
      </c>
      <c r="I29" s="18">
        <f t="shared" ca="1" si="14"/>
        <v>24177.502137004703</v>
      </c>
      <c r="J29" s="18">
        <f t="shared" ca="1" si="14"/>
        <v>21329.59019682488</v>
      </c>
      <c r="K29" s="18">
        <f t="shared" ca="1" si="14"/>
        <v>17900.188051765443</v>
      </c>
      <c r="M29" s="17" t="s">
        <v>29</v>
      </c>
      <c r="N29" s="17"/>
    </row>
    <row r="30" spans="3:14">
      <c r="C30" t="s">
        <v>30</v>
      </c>
      <c r="D30" s="4">
        <v>-177</v>
      </c>
      <c r="E30" s="4">
        <v>-451</v>
      </c>
      <c r="F30" s="4">
        <v>-1124</v>
      </c>
      <c r="G30" s="16">
        <f ca="1">-G29*G43</f>
        <v>-3774.1391954013666</v>
      </c>
      <c r="H30" s="16">
        <f t="shared" ref="H30:K30" ca="1" si="15">-H29*H43</f>
        <v>-4177.8152130266963</v>
      </c>
      <c r="I30" s="16">
        <f t="shared" ca="1" si="15"/>
        <v>-3989.2878526057762</v>
      </c>
      <c r="J30" s="16">
        <f t="shared" ca="1" si="15"/>
        <v>-3519.3823824761052</v>
      </c>
      <c r="K30" s="16">
        <f t="shared" ca="1" si="15"/>
        <v>-2953.5310285412984</v>
      </c>
      <c r="M30" t="s">
        <v>31</v>
      </c>
    </row>
    <row r="31" spans="3:14">
      <c r="C31" s="17" t="s">
        <v>32</v>
      </c>
      <c r="D31" s="18">
        <f t="shared" ref="D31:K31" si="16">SUM(D29:D30)</f>
        <v>-5835</v>
      </c>
      <c r="E31" s="18">
        <f t="shared" si="16"/>
        <v>789</v>
      </c>
      <c r="F31" s="18">
        <f t="shared" si="16"/>
        <v>8530</v>
      </c>
      <c r="G31" s="18">
        <f t="shared" ca="1" si="16"/>
        <v>19099.431685819036</v>
      </c>
      <c r="H31" s="18">
        <f t="shared" ca="1" si="16"/>
        <v>21142.276987135097</v>
      </c>
      <c r="I31" s="18">
        <f t="shared" ca="1" si="16"/>
        <v>20188.214284398928</v>
      </c>
      <c r="J31" s="18">
        <f t="shared" ca="1" si="16"/>
        <v>17810.207814348774</v>
      </c>
      <c r="K31" s="18">
        <f t="shared" ca="1" si="16"/>
        <v>14946.657023224145</v>
      </c>
      <c r="M31" s="17" t="s">
        <v>33</v>
      </c>
    </row>
    <row r="32" spans="3:14">
      <c r="C32" s="21"/>
      <c r="D32" s="19"/>
      <c r="E32" s="19"/>
      <c r="F32" s="19"/>
    </row>
    <row r="33" spans="2:18">
      <c r="C33" s="29" t="s">
        <v>34</v>
      </c>
      <c r="D33" s="4">
        <v>7756</v>
      </c>
      <c r="E33" s="4">
        <v>7780</v>
      </c>
      <c r="F33" s="4">
        <v>8352</v>
      </c>
      <c r="G33" s="16">
        <f ca="1">G116</f>
        <v>16187.277266928</v>
      </c>
      <c r="H33" s="16">
        <f t="shared" ref="H33:K33" ca="1" si="17">H116</f>
        <v>15738.47185945244</v>
      </c>
      <c r="I33" s="16">
        <f t="shared" ca="1" si="17"/>
        <v>16343.677403139513</v>
      </c>
      <c r="J33" s="16">
        <f t="shared" ca="1" si="17"/>
        <v>17372.287894891622</v>
      </c>
      <c r="K33" s="16">
        <f t="shared" ca="1" si="17"/>
        <v>18170.909785898006</v>
      </c>
      <c r="M33" t="s">
        <v>35</v>
      </c>
    </row>
    <row r="34" spans="2:18">
      <c r="C34" s="28" t="s">
        <v>36</v>
      </c>
      <c r="D34" s="18">
        <f t="shared" ref="D34:K34" si="18">D33+D25</f>
        <v>2011</v>
      </c>
      <c r="E34" s="18">
        <f t="shared" si="18"/>
        <v>9084</v>
      </c>
      <c r="F34" s="18">
        <f t="shared" si="18"/>
        <v>18122</v>
      </c>
      <c r="G34" s="18">
        <f t="shared" ca="1" si="18"/>
        <v>38962.2117257504</v>
      </c>
      <c r="H34" s="18">
        <f t="shared" ca="1" si="18"/>
        <v>40760.838714818216</v>
      </c>
      <c r="I34" s="18">
        <f t="shared" ca="1" si="18"/>
        <v>39639.106983735837</v>
      </c>
      <c r="J34" s="18">
        <f t="shared" ca="1" si="18"/>
        <v>37183.418059129515</v>
      </c>
      <c r="K34" s="18">
        <f t="shared" ca="1" si="18"/>
        <v>33961.769231805025</v>
      </c>
      <c r="M34" s="17"/>
    </row>
    <row r="35" spans="2:18">
      <c r="C35" s="29" t="s">
        <v>37</v>
      </c>
      <c r="D35" s="4">
        <v>596</v>
      </c>
      <c r="E35" s="4">
        <v>833</v>
      </c>
      <c r="F35" s="4">
        <v>972</v>
      </c>
      <c r="G35" s="16">
        <f ca="1">F35*(1+G39)</f>
        <v>1417.7234996346513</v>
      </c>
      <c r="H35" s="16">
        <f t="shared" ref="H35:K35" ca="1" si="19">G35*(1+H39)</f>
        <v>1755.8185882365667</v>
      </c>
      <c r="I35" s="16">
        <f t="shared" ca="1" si="19"/>
        <v>1937.7048713490954</v>
      </c>
      <c r="J35" s="16">
        <f t="shared" ca="1" si="19"/>
        <v>2051.598833173643</v>
      </c>
      <c r="K35" s="16">
        <f t="shared" ca="1" si="19"/>
        <v>2168.5181628997393</v>
      </c>
      <c r="M35" t="s">
        <v>174</v>
      </c>
    </row>
    <row r="36" spans="2:18">
      <c r="C36" s="28" t="s">
        <v>38</v>
      </c>
      <c r="D36" s="18">
        <f t="shared" ref="D36:K36" si="20">SUM(D34:D35)</f>
        <v>2607</v>
      </c>
      <c r="E36" s="18">
        <f t="shared" si="20"/>
        <v>9917</v>
      </c>
      <c r="F36" s="18">
        <f t="shared" si="20"/>
        <v>19094</v>
      </c>
      <c r="G36" s="18">
        <f t="shared" ca="1" si="20"/>
        <v>40379.935225385052</v>
      </c>
      <c r="H36" s="18">
        <f t="shared" ca="1" si="20"/>
        <v>42516.657303054781</v>
      </c>
      <c r="I36" s="18">
        <f t="shared" ca="1" si="20"/>
        <v>41576.811855084932</v>
      </c>
      <c r="J36" s="18">
        <f t="shared" ca="1" si="20"/>
        <v>39235.01689230316</v>
      </c>
      <c r="K36" s="18">
        <f t="shared" ca="1" si="20"/>
        <v>36130.287394704763</v>
      </c>
      <c r="M36" s="17" t="s">
        <v>39</v>
      </c>
    </row>
    <row r="37" spans="2:18">
      <c r="C37" s="21"/>
    </row>
    <row r="38" spans="2:18">
      <c r="C38" s="20" t="s">
        <v>40</v>
      </c>
    </row>
    <row r="39" spans="2:18">
      <c r="C39" s="21" t="s">
        <v>41</v>
      </c>
      <c r="D39" s="22"/>
      <c r="E39" s="22">
        <f>E18/D18-1</f>
        <v>0.61589446589446584</v>
      </c>
      <c r="F39" s="22">
        <f>F18/E18-1</f>
        <v>0.48851101111066852</v>
      </c>
      <c r="G39" s="143">
        <f ca="1">G219</f>
        <v>0.45856327122906504</v>
      </c>
      <c r="H39" s="143">
        <f t="shared" ref="H39:K39" ca="1" si="21">H219</f>
        <v>0.23847745254208097</v>
      </c>
      <c r="I39" s="143">
        <f t="shared" ca="1" si="21"/>
        <v>0.10359058978593216</v>
      </c>
      <c r="J39" s="143">
        <f t="shared" ca="1" si="21"/>
        <v>5.8777765132649318E-2</v>
      </c>
      <c r="K39" s="143">
        <f t="shared" ca="1" si="21"/>
        <v>5.6989372305906505E-2</v>
      </c>
      <c r="M39" t="s">
        <v>225</v>
      </c>
      <c r="O39" s="23"/>
      <c r="P39" s="23"/>
      <c r="Q39" s="23"/>
      <c r="R39" s="23"/>
    </row>
    <row r="40" spans="2:18">
      <c r="C40" s="21" t="s">
        <v>42</v>
      </c>
      <c r="D40" s="22">
        <f>D20/D18</f>
        <v>-9.1119691119691121E-2</v>
      </c>
      <c r="E40" s="22">
        <f t="shared" ref="E40" si="22">E20/E18</f>
        <v>0.22352753773246783</v>
      </c>
      <c r="F40" s="22">
        <f>F20/F18</f>
        <v>0.39790786023864305</v>
      </c>
      <c r="G40" s="143">
        <f ca="1">G220</f>
        <v>0.51619999999999999</v>
      </c>
      <c r="H40" s="143">
        <f t="shared" ref="H40:K40" ca="1" si="23">H220</f>
        <v>0.45619999999999999</v>
      </c>
      <c r="I40" s="143">
        <f t="shared" ca="1" si="23"/>
        <v>0.3962</v>
      </c>
      <c r="J40" s="143">
        <f t="shared" ca="1" si="23"/>
        <v>0.3362</v>
      </c>
      <c r="K40" s="143">
        <f t="shared" ca="1" si="23"/>
        <v>0.2762</v>
      </c>
      <c r="M40" t="s">
        <v>225</v>
      </c>
      <c r="O40" s="23"/>
      <c r="P40" s="23"/>
      <c r="Q40" s="23"/>
      <c r="R40" s="23"/>
    </row>
    <row r="41" spans="2:18">
      <c r="C41" s="21" t="s">
        <v>43</v>
      </c>
      <c r="D41" s="22">
        <f>-(D21/D18)</f>
        <v>0.20038610038610039</v>
      </c>
      <c r="E41" s="22">
        <f t="shared" ref="E41:F41" si="24">-(E21/E18)</f>
        <v>0.13659352475010952</v>
      </c>
      <c r="F41" s="22">
        <f t="shared" si="24"/>
        <v>0.10161057306436941</v>
      </c>
      <c r="G41" s="143">
        <f ca="1">G221</f>
        <v>8.7999999999999995E-2</v>
      </c>
      <c r="H41" s="143">
        <f t="shared" ref="H41:K41" ca="1" si="25">H221</f>
        <v>9.2399999999999996E-2</v>
      </c>
      <c r="I41" s="143">
        <f t="shared" ca="1" si="25"/>
        <v>9.1999999999999998E-2</v>
      </c>
      <c r="J41" s="143">
        <f t="shared" ca="1" si="25"/>
        <v>9.1999999999999998E-2</v>
      </c>
      <c r="K41" s="143">
        <f t="shared" ca="1" si="25"/>
        <v>9.1999999999999998E-2</v>
      </c>
      <c r="M41" t="s">
        <v>225</v>
      </c>
      <c r="O41" s="23"/>
      <c r="P41" s="23"/>
      <c r="Q41" s="23"/>
      <c r="R41" s="23"/>
    </row>
    <row r="42" spans="2:18">
      <c r="C42" s="21" t="s">
        <v>44</v>
      </c>
      <c r="D42" s="22">
        <f>-(D22/D18)</f>
        <v>5.9202059202059204E-2</v>
      </c>
      <c r="E42" s="22">
        <f t="shared" ref="E42:F42" si="26">-(E22/E18)</f>
        <v>4.496037593086695E-2</v>
      </c>
      <c r="F42" s="22">
        <f t="shared" si="26"/>
        <v>3.2238214992776501E-2</v>
      </c>
      <c r="G42" s="143">
        <f ca="1">G222</f>
        <v>2.5000000000000001E-2</v>
      </c>
      <c r="H42" s="143">
        <f t="shared" ref="H42:K42" ca="1" si="27">H222</f>
        <v>2.5000000000000001E-2</v>
      </c>
      <c r="I42" s="143">
        <f t="shared" ca="1" si="27"/>
        <v>2.5000000000000001E-2</v>
      </c>
      <c r="J42" s="143">
        <f t="shared" ca="1" si="27"/>
        <v>2.5000000000000001E-2</v>
      </c>
      <c r="K42" s="143">
        <f t="shared" ca="1" si="27"/>
        <v>2.5000000000000001E-2</v>
      </c>
      <c r="M42" t="s">
        <v>225</v>
      </c>
      <c r="O42" s="23"/>
      <c r="P42" s="23"/>
      <c r="Q42" s="23"/>
      <c r="R42" s="23"/>
    </row>
    <row r="43" spans="2:18">
      <c r="C43" s="21" t="s">
        <v>45</v>
      </c>
      <c r="D43" s="22">
        <f>D30/D29</f>
        <v>3.1283138918345707E-2</v>
      </c>
      <c r="E43" s="22">
        <f>-E30/E29</f>
        <v>0.36370967741935484</v>
      </c>
      <c r="F43" s="22">
        <f>-F30/F29</f>
        <v>0.1164284234514191</v>
      </c>
      <c r="G43" s="143">
        <v>0.16500000000000001</v>
      </c>
      <c r="H43" s="143">
        <v>0.16500000000000001</v>
      </c>
      <c r="I43" s="143">
        <v>0.16500000000000001</v>
      </c>
      <c r="J43" s="143">
        <v>0.16500000000000001</v>
      </c>
      <c r="K43" s="143">
        <v>0.16500000000000001</v>
      </c>
      <c r="M43" t="s">
        <v>173</v>
      </c>
      <c r="O43" s="23"/>
      <c r="P43" s="23"/>
      <c r="Q43" s="23"/>
      <c r="R43" s="23"/>
    </row>
    <row r="44" spans="2:18">
      <c r="C44" s="21"/>
      <c r="G44" s="39"/>
    </row>
    <row r="45" spans="2:18">
      <c r="B45" t="s">
        <v>172</v>
      </c>
      <c r="C45" s="6" t="s">
        <v>46</v>
      </c>
      <c r="D45" s="12"/>
      <c r="E45" s="12"/>
      <c r="F45" s="12"/>
      <c r="G45" s="8"/>
      <c r="H45" s="8"/>
      <c r="I45" s="8"/>
      <c r="J45" s="8"/>
      <c r="K45" s="8"/>
    </row>
    <row r="46" spans="2:18">
      <c r="C46" s="27" t="s">
        <v>9</v>
      </c>
      <c r="D46" s="24"/>
      <c r="E46" s="24">
        <f>F46-1</f>
        <v>2024</v>
      </c>
      <c r="F46" s="24">
        <v>2025</v>
      </c>
      <c r="G46" s="25">
        <v>2026</v>
      </c>
      <c r="H46" s="25">
        <f>G46+1</f>
        <v>2027</v>
      </c>
      <c r="I46" s="25">
        <f>H46+1</f>
        <v>2028</v>
      </c>
      <c r="J46" s="25">
        <f>I46+1</f>
        <v>2029</v>
      </c>
      <c r="K46" s="25">
        <f>J46+1</f>
        <v>2030</v>
      </c>
    </row>
    <row r="47" spans="2:18">
      <c r="C47" s="8" t="s">
        <v>10</v>
      </c>
      <c r="D47" s="26"/>
      <c r="E47" s="26">
        <f>DATE(2025,8,28)-364</f>
        <v>45533</v>
      </c>
      <c r="F47" s="26">
        <f>D10</f>
        <v>45897</v>
      </c>
      <c r="G47" s="26">
        <f>DATE(2025,8,28)+364</f>
        <v>46261</v>
      </c>
      <c r="H47" s="26">
        <f>DATE(2026,8,27)+364</f>
        <v>46625</v>
      </c>
      <c r="I47" s="26">
        <f>DATE(2027,8,26)+371</f>
        <v>46996</v>
      </c>
      <c r="J47" s="26">
        <f>DATE(2028,8,31)+364</f>
        <v>47360</v>
      </c>
      <c r="K47" s="26">
        <f>DATE(2029,8,30)+364</f>
        <v>47724</v>
      </c>
    </row>
    <row r="48" spans="2:18">
      <c r="C48" t="s">
        <v>47</v>
      </c>
      <c r="D48" s="4"/>
      <c r="E48" s="4">
        <f>7041+1065+1046</f>
        <v>9152</v>
      </c>
      <c r="F48" s="4">
        <f>9642+665+1629</f>
        <v>11936</v>
      </c>
      <c r="G48" s="16">
        <f ca="1">F48+G100</f>
        <v>21252.946120145047</v>
      </c>
      <c r="H48" s="16">
        <f ca="1">G48+H100</f>
        <v>35861.626410943529</v>
      </c>
      <c r="I48" s="16">
        <f ca="1">H48+I100</f>
        <v>51771.313316876709</v>
      </c>
      <c r="J48" s="16">
        <f ca="1">I48+J100</f>
        <v>66543.0276530665</v>
      </c>
      <c r="K48" s="16">
        <f ca="1">J48+K100</f>
        <v>79104.181238549572</v>
      </c>
      <c r="M48" t="s">
        <v>48</v>
      </c>
    </row>
    <row r="49" spans="3:13">
      <c r="C49" t="s">
        <v>49</v>
      </c>
      <c r="D49" s="4"/>
      <c r="E49" s="4">
        <v>6615</v>
      </c>
      <c r="F49" s="4">
        <v>9265</v>
      </c>
      <c r="G49" s="16">
        <f ca="1">F49*(1+G39)</f>
        <v>13513.588707937288</v>
      </c>
      <c r="H49" s="16">
        <f t="shared" ref="H49:K49" ca="1" si="28">G49*(1+H39)</f>
        <v>16736.274917707604</v>
      </c>
      <c r="I49" s="16">
        <f t="shared" ca="1" si="28"/>
        <v>18469.995507252439</v>
      </c>
      <c r="J49" s="16">
        <f t="shared" ca="1" si="28"/>
        <v>19555.620565178811</v>
      </c>
      <c r="K49" s="16">
        <f t="shared" ca="1" si="28"/>
        <v>20670.083106240829</v>
      </c>
      <c r="M49" t="s">
        <v>50</v>
      </c>
    </row>
    <row r="50" spans="3:13">
      <c r="C50" t="s">
        <v>51</v>
      </c>
      <c r="D50" s="4"/>
      <c r="E50" s="4">
        <v>8875</v>
      </c>
      <c r="F50" s="4">
        <v>8355</v>
      </c>
      <c r="G50" s="16">
        <f ca="1">(F50)*(G19/F19)</f>
        <v>9792.0728056209209</v>
      </c>
      <c r="H50" s="16">
        <f t="shared" ref="H50:K50" ca="1" si="29">(G50)*(H19/G19)</f>
        <v>13631.262381768165</v>
      </c>
      <c r="I50" s="16">
        <f t="shared" ca="1" si="29"/>
        <v>16703.134240236846</v>
      </c>
      <c r="J50" s="16">
        <f t="shared" ca="1" si="29"/>
        <v>19442.267904250599</v>
      </c>
      <c r="K50" s="16">
        <f t="shared" ca="1" si="29"/>
        <v>22407.782197758246</v>
      </c>
      <c r="M50" t="s">
        <v>52</v>
      </c>
    </row>
    <row r="51" spans="3:13">
      <c r="C51" t="s">
        <v>53</v>
      </c>
      <c r="D51" s="4"/>
      <c r="E51" s="4">
        <v>776</v>
      </c>
      <c r="F51" s="4">
        <v>914</v>
      </c>
      <c r="G51" s="16">
        <f ca="1">F51*(1+G39)</f>
        <v>1333.1268299033654</v>
      </c>
      <c r="H51" s="16">
        <f t="shared" ref="H51:K51" ca="1" si="30">G51*(1+H39)</f>
        <v>1651.0475202142202</v>
      </c>
      <c r="I51" s="16">
        <f t="shared" ca="1" si="30"/>
        <v>1822.080506597812</v>
      </c>
      <c r="J51" s="16">
        <f t="shared" ca="1" si="30"/>
        <v>1929.178326667397</v>
      </c>
      <c r="K51" s="16">
        <f t="shared" ca="1" si="30"/>
        <v>2039.1209885703311</v>
      </c>
      <c r="M51" t="s">
        <v>50</v>
      </c>
    </row>
    <row r="52" spans="3:13">
      <c r="C52" t="s">
        <v>54</v>
      </c>
      <c r="D52" s="4"/>
      <c r="E52" s="4">
        <v>39749</v>
      </c>
      <c r="F52" s="4">
        <v>46590</v>
      </c>
      <c r="G52" s="16">
        <f>G109</f>
        <v>51958.5</v>
      </c>
      <c r="H52" s="16">
        <f t="shared" ref="H52:K52" si="31">H109</f>
        <v>56435.8675</v>
      </c>
      <c r="I52" s="16">
        <f t="shared" si="31"/>
        <v>60372.332499999997</v>
      </c>
      <c r="J52" s="16">
        <f t="shared" si="31"/>
        <v>63849.799999999988</v>
      </c>
      <c r="K52" s="16">
        <f t="shared" si="31"/>
        <v>66794.28</v>
      </c>
      <c r="M52" t="s">
        <v>55</v>
      </c>
    </row>
    <row r="53" spans="3:13">
      <c r="C53" t="s">
        <v>180</v>
      </c>
      <c r="D53" s="4"/>
      <c r="E53" s="4">
        <v>645</v>
      </c>
      <c r="F53" s="4">
        <v>736</v>
      </c>
      <c r="G53" s="16">
        <f>$F$53</f>
        <v>736</v>
      </c>
      <c r="H53" s="16">
        <f t="shared" ref="H53:K53" si="32">G53</f>
        <v>736</v>
      </c>
      <c r="I53" s="16">
        <f t="shared" si="32"/>
        <v>736</v>
      </c>
      <c r="J53" s="16">
        <f t="shared" si="32"/>
        <v>736</v>
      </c>
      <c r="K53" s="16">
        <f t="shared" si="32"/>
        <v>736</v>
      </c>
      <c r="M53" t="s">
        <v>192</v>
      </c>
    </row>
    <row r="54" spans="3:13">
      <c r="C54" t="s">
        <v>181</v>
      </c>
      <c r="D54" s="4"/>
      <c r="E54" s="4">
        <v>416</v>
      </c>
      <c r="F54" s="4">
        <v>453</v>
      </c>
      <c r="G54" s="16">
        <v>453</v>
      </c>
      <c r="H54" s="16">
        <v>453</v>
      </c>
      <c r="I54" s="16">
        <v>453</v>
      </c>
      <c r="J54" s="16">
        <v>453</v>
      </c>
      <c r="K54" s="16">
        <v>453</v>
      </c>
      <c r="M54" t="s">
        <v>192</v>
      </c>
    </row>
    <row r="55" spans="3:13">
      <c r="C55" t="s">
        <v>182</v>
      </c>
      <c r="D55" s="4"/>
      <c r="E55" s="4">
        <v>520</v>
      </c>
      <c r="F55" s="4">
        <v>616</v>
      </c>
      <c r="G55" s="16">
        <v>616</v>
      </c>
      <c r="H55" s="16">
        <v>616</v>
      </c>
      <c r="I55" s="16">
        <v>616</v>
      </c>
      <c r="J55" s="16">
        <v>616</v>
      </c>
      <c r="K55" s="16">
        <v>616</v>
      </c>
      <c r="M55" t="s">
        <v>192</v>
      </c>
    </row>
    <row r="56" spans="3:13">
      <c r="C56" t="s">
        <v>183</v>
      </c>
      <c r="D56" s="4"/>
      <c r="E56" s="4">
        <v>1150</v>
      </c>
      <c r="F56" s="4">
        <v>1150</v>
      </c>
      <c r="G56" s="16">
        <v>1150</v>
      </c>
      <c r="H56" s="16">
        <v>1150</v>
      </c>
      <c r="I56" s="16">
        <v>1150</v>
      </c>
      <c r="J56" s="16">
        <v>1150</v>
      </c>
      <c r="K56" s="16">
        <v>1150</v>
      </c>
      <c r="M56" t="s">
        <v>192</v>
      </c>
    </row>
    <row r="57" spans="3:13">
      <c r="C57" t="s">
        <v>56</v>
      </c>
      <c r="D57" s="4"/>
      <c r="E57" s="4">
        <v>1518</v>
      </c>
      <c r="F57" s="4">
        <v>2783</v>
      </c>
      <c r="G57" s="16">
        <f ca="1">F57*(1+G39)</f>
        <v>4059.1815838304879</v>
      </c>
      <c r="H57" s="16">
        <f t="shared" ref="H57:K57" ca="1" si="33">G57*(1+H39)</f>
        <v>5027.2048673481122</v>
      </c>
      <c r="I57" s="16">
        <f t="shared" ca="1" si="33"/>
        <v>5547.975984531412</v>
      </c>
      <c r="J57" s="16">
        <f t="shared" ca="1" si="33"/>
        <v>5874.073613911778</v>
      </c>
      <c r="K57" s="16">
        <f t="shared" ca="1" si="33"/>
        <v>6208.8333820472981</v>
      </c>
      <c r="M57" t="s">
        <v>50</v>
      </c>
    </row>
    <row r="58" spans="3:13">
      <c r="C58" s="28" t="s">
        <v>57</v>
      </c>
      <c r="D58" s="18"/>
      <c r="E58" s="18">
        <f>SUM(E48:E57)</f>
        <v>69416</v>
      </c>
      <c r="F58" s="18">
        <f>SUM(F48:F57)</f>
        <v>82798</v>
      </c>
      <c r="G58" s="18">
        <f ca="1">SUM(G48:G57)</f>
        <v>104864.41604743712</v>
      </c>
      <c r="H58" s="18">
        <f t="shared" ref="H58:K58" ca="1" si="34">SUM(H48:H57)</f>
        <v>132298.28359798162</v>
      </c>
      <c r="I58" s="18">
        <f t="shared" ca="1" si="34"/>
        <v>157641.83205549521</v>
      </c>
      <c r="J58" s="18">
        <f t="shared" ca="1" si="34"/>
        <v>180148.96806307507</v>
      </c>
      <c r="K58" s="18">
        <f t="shared" ca="1" si="34"/>
        <v>200179.28091316629</v>
      </c>
    </row>
    <row r="59" spans="3:13">
      <c r="C59" s="29"/>
      <c r="D59" s="19"/>
      <c r="E59" s="19"/>
      <c r="F59" s="19"/>
    </row>
    <row r="60" spans="3:13">
      <c r="C60" s="29" t="s">
        <v>58</v>
      </c>
      <c r="D60" s="4"/>
      <c r="E60" s="4">
        <v>7299</v>
      </c>
      <c r="F60" s="4">
        <v>9649</v>
      </c>
      <c r="G60" s="16">
        <f ca="1">F60*(G19/F19)</f>
        <v>11308.642788921155</v>
      </c>
      <c r="H60" s="16">
        <f t="shared" ref="H60:K60" ca="1" si="35">G60*(H19/G19)</f>
        <v>15742.435753642252</v>
      </c>
      <c r="I60" s="16">
        <f t="shared" ca="1" si="35"/>
        <v>19290.070889772029</v>
      </c>
      <c r="J60" s="16">
        <f t="shared" ca="1" si="35"/>
        <v>22453.434231970557</v>
      </c>
      <c r="K60" s="16">
        <f t="shared" ca="1" si="35"/>
        <v>25878.23942862589</v>
      </c>
      <c r="M60" t="s">
        <v>52</v>
      </c>
    </row>
    <row r="61" spans="3:13">
      <c r="C61" s="29" t="s">
        <v>59</v>
      </c>
      <c r="D61" s="4"/>
      <c r="E61" s="4">
        <v>1518</v>
      </c>
      <c r="F61" s="4">
        <v>1245</v>
      </c>
      <c r="G61" s="16">
        <f ca="1">F61*(1+G39)</f>
        <v>1815.9112726801859</v>
      </c>
      <c r="H61" s="16">
        <f ca="1">G61*(1+H39)</f>
        <v>2248.9651670314047</v>
      </c>
      <c r="I61" s="16">
        <f ca="1">H61*(1+I39)</f>
        <v>2481.9367950922056</v>
      </c>
      <c r="J61" s="16">
        <f ca="1">I61*(1+J39)</f>
        <v>2627.8194931082157</v>
      </c>
      <c r="K61" s="16">
        <f ca="1">J61*(1+K39)</f>
        <v>2777.5772765536785</v>
      </c>
      <c r="M61" t="s">
        <v>50</v>
      </c>
    </row>
    <row r="62" spans="3:13">
      <c r="C62" s="29" t="s">
        <v>60</v>
      </c>
      <c r="D62" s="4"/>
      <c r="E62" s="4">
        <v>431</v>
      </c>
      <c r="F62" s="4">
        <v>560</v>
      </c>
      <c r="G62" s="16">
        <f ca="1">G145</f>
        <v>50</v>
      </c>
      <c r="H62" s="16">
        <f t="shared" ref="H62:K62" ca="1" si="36">H145</f>
        <v>50</v>
      </c>
      <c r="I62" s="16">
        <f t="shared" ca="1" si="36"/>
        <v>50</v>
      </c>
      <c r="J62" s="16">
        <f t="shared" ca="1" si="36"/>
        <v>50</v>
      </c>
      <c r="K62" s="16">
        <f t="shared" ca="1" si="36"/>
        <v>50</v>
      </c>
      <c r="M62" t="s">
        <v>61</v>
      </c>
    </row>
    <row r="63" spans="3:13">
      <c r="C63" s="29" t="s">
        <v>62</v>
      </c>
      <c r="D63" s="4"/>
      <c r="E63" s="4">
        <v>12966</v>
      </c>
      <c r="F63" s="4">
        <v>14017</v>
      </c>
      <c r="G63" s="16">
        <v>14017</v>
      </c>
      <c r="H63" s="16">
        <v>14017</v>
      </c>
      <c r="I63" s="16">
        <v>14017</v>
      </c>
      <c r="J63" s="16">
        <v>14017</v>
      </c>
      <c r="K63" s="16">
        <v>14017</v>
      </c>
      <c r="M63" t="s">
        <v>211</v>
      </c>
    </row>
    <row r="64" spans="3:13">
      <c r="C64" s="29" t="s">
        <v>185</v>
      </c>
      <c r="D64" s="4"/>
      <c r="E64" s="4">
        <v>610</v>
      </c>
      <c r="F64" s="4">
        <v>701</v>
      </c>
      <c r="G64" s="16">
        <v>701</v>
      </c>
      <c r="H64" s="16">
        <v>701</v>
      </c>
      <c r="I64" s="16">
        <v>701</v>
      </c>
      <c r="J64" s="16">
        <v>701</v>
      </c>
      <c r="K64" s="16">
        <v>701</v>
      </c>
      <c r="M64" t="s">
        <v>192</v>
      </c>
    </row>
    <row r="65" spans="2:13">
      <c r="C65" s="29" t="s">
        <v>184</v>
      </c>
      <c r="D65" s="4"/>
      <c r="E65" s="4">
        <v>550</v>
      </c>
      <c r="F65" s="4">
        <v>1018</v>
      </c>
      <c r="G65" s="16">
        <v>1018</v>
      </c>
      <c r="H65" s="16">
        <v>1018</v>
      </c>
      <c r="I65" s="16">
        <v>1018</v>
      </c>
      <c r="J65" s="16">
        <v>1018</v>
      </c>
      <c r="K65" s="16">
        <v>1018</v>
      </c>
      <c r="M65" t="s">
        <v>192</v>
      </c>
    </row>
    <row r="66" spans="2:13">
      <c r="C66" s="29" t="s">
        <v>63</v>
      </c>
      <c r="D66" s="4"/>
      <c r="E66" s="4">
        <v>911</v>
      </c>
      <c r="F66" s="4">
        <v>1443</v>
      </c>
      <c r="G66" s="16">
        <f ca="1">F66*(1+G39)</f>
        <v>2104.7068003835407</v>
      </c>
      <c r="H66" s="16">
        <f ca="1">G66*(1+H39)</f>
        <v>2606.6319164870015</v>
      </c>
      <c r="I66" s="16">
        <f ca="1">H66*(1+I39)</f>
        <v>2876.6544540707246</v>
      </c>
      <c r="J66" s="16">
        <f ca="1">I66*(1+J39)</f>
        <v>3045.737773939883</v>
      </c>
      <c r="K66" s="16">
        <f ca="1">J66*(1+K39)</f>
        <v>3219.3124578851061</v>
      </c>
      <c r="M66" t="s">
        <v>50</v>
      </c>
    </row>
    <row r="67" spans="2:13">
      <c r="C67" s="28" t="s">
        <v>64</v>
      </c>
      <c r="D67" s="18"/>
      <c r="E67" s="18">
        <f t="shared" ref="E67:K67" si="37">SUM(E60:E66)</f>
        <v>24285</v>
      </c>
      <c r="F67" s="18">
        <f t="shared" si="37"/>
        <v>28633</v>
      </c>
      <c r="G67" s="18">
        <f t="shared" ca="1" si="37"/>
        <v>31015.260861984883</v>
      </c>
      <c r="H67" s="18">
        <f t="shared" ca="1" si="37"/>
        <v>36384.032837160652</v>
      </c>
      <c r="I67" s="18">
        <f t="shared" ca="1" si="37"/>
        <v>40434.66213893496</v>
      </c>
      <c r="J67" s="18">
        <f t="shared" ca="1" si="37"/>
        <v>43912.991499018652</v>
      </c>
      <c r="K67" s="18">
        <f t="shared" ca="1" si="37"/>
        <v>47661.129163064674</v>
      </c>
    </row>
    <row r="68" spans="2:13">
      <c r="C68" s="28"/>
      <c r="D68" s="18"/>
      <c r="E68" s="18"/>
      <c r="F68" s="18"/>
    </row>
    <row r="69" spans="2:13">
      <c r="C69" s="29" t="s">
        <v>65</v>
      </c>
      <c r="D69" s="4"/>
      <c r="E69" s="4">
        <v>125</v>
      </c>
      <c r="F69" s="4">
        <v>127</v>
      </c>
      <c r="G69" s="16">
        <f ca="1">F69+G35</f>
        <v>1544.7234996346513</v>
      </c>
      <c r="H69" s="16">
        <f ca="1">G69+H35</f>
        <v>3300.542087871218</v>
      </c>
      <c r="I69" s="16">
        <f ca="1">H69+I35</f>
        <v>5238.2469592203133</v>
      </c>
      <c r="J69" s="16">
        <f ca="1">I69+J35</f>
        <v>7289.8457923939568</v>
      </c>
      <c r="K69" s="16">
        <f ca="1">J69+K35</f>
        <v>9458.3639552936966</v>
      </c>
      <c r="M69" t="s">
        <v>66</v>
      </c>
    </row>
    <row r="70" spans="2:13">
      <c r="C70" s="29" t="s">
        <v>196</v>
      </c>
      <c r="D70" s="4"/>
      <c r="E70" s="4">
        <v>12115</v>
      </c>
      <c r="F70" s="4">
        <v>13339</v>
      </c>
      <c r="G70" s="16">
        <v>13339</v>
      </c>
      <c r="H70" s="16">
        <v>13339</v>
      </c>
      <c r="I70" s="16">
        <v>13339</v>
      </c>
      <c r="J70" s="16">
        <v>13339</v>
      </c>
      <c r="K70" s="16">
        <v>13339</v>
      </c>
    </row>
    <row r="71" spans="2:13">
      <c r="C71" s="29" t="s">
        <v>67</v>
      </c>
      <c r="D71" s="16"/>
      <c r="E71" s="4">
        <v>40877</v>
      </c>
      <c r="F71" s="4">
        <v>48583</v>
      </c>
      <c r="G71" s="16">
        <f ca="1">G129</f>
        <v>66849.431685817573</v>
      </c>
      <c r="H71" s="16">
        <f t="shared" ref="H71:K71" ca="1" si="38">H129</f>
        <v>87158.708672705092</v>
      </c>
      <c r="I71" s="16">
        <f t="shared" ca="1" si="38"/>
        <v>106513.92295651868</v>
      </c>
      <c r="J71" s="16">
        <f t="shared" ca="1" si="38"/>
        <v>123491.13075454812</v>
      </c>
      <c r="K71" s="16">
        <f t="shared" ca="1" si="38"/>
        <v>137604.78773823869</v>
      </c>
      <c r="M71" t="s">
        <v>68</v>
      </c>
    </row>
    <row r="72" spans="2:13">
      <c r="C72" s="29" t="s">
        <v>197</v>
      </c>
      <c r="D72" s="16"/>
      <c r="E72" s="4">
        <v>-7852</v>
      </c>
      <c r="F72" s="4">
        <v>-7852</v>
      </c>
      <c r="G72" s="16">
        <v>-7852</v>
      </c>
      <c r="H72" s="16">
        <v>-7852</v>
      </c>
      <c r="I72" s="16">
        <v>-7852</v>
      </c>
      <c r="J72" s="16">
        <v>-7852</v>
      </c>
      <c r="K72" s="16">
        <v>-7852</v>
      </c>
    </row>
    <row r="73" spans="2:13">
      <c r="C73" s="29" t="s">
        <v>69</v>
      </c>
      <c r="D73" s="4"/>
      <c r="E73" s="4">
        <v>-134</v>
      </c>
      <c r="F73" s="4">
        <v>-32</v>
      </c>
      <c r="G73" s="16">
        <f>F73</f>
        <v>-32</v>
      </c>
      <c r="H73" s="16">
        <f t="shared" ref="H73:K73" si="39">G73</f>
        <v>-32</v>
      </c>
      <c r="I73" s="16">
        <f t="shared" si="39"/>
        <v>-32</v>
      </c>
      <c r="J73" s="16">
        <f t="shared" si="39"/>
        <v>-32</v>
      </c>
      <c r="K73" s="16">
        <f t="shared" si="39"/>
        <v>-32</v>
      </c>
      <c r="M73" t="s">
        <v>211</v>
      </c>
    </row>
    <row r="74" spans="2:13">
      <c r="C74" s="28" t="s">
        <v>70</v>
      </c>
      <c r="D74" s="30"/>
      <c r="E74" s="142">
        <f t="shared" ref="E74:K74" si="40">SUM(E69:E73)</f>
        <v>45131</v>
      </c>
      <c r="F74" s="142">
        <f t="shared" si="40"/>
        <v>54165</v>
      </c>
      <c r="G74" s="142">
        <f t="shared" ca="1" si="40"/>
        <v>73849.155185452226</v>
      </c>
      <c r="H74" s="142">
        <f t="shared" ca="1" si="40"/>
        <v>95914.250760576309</v>
      </c>
      <c r="I74" s="142">
        <f t="shared" ca="1" si="40"/>
        <v>117207.169915739</v>
      </c>
      <c r="J74" s="142">
        <f t="shared" ca="1" si="40"/>
        <v>136235.97654694208</v>
      </c>
      <c r="K74" s="142">
        <f t="shared" ca="1" si="40"/>
        <v>152518.15169353239</v>
      </c>
    </row>
    <row r="75" spans="2:13">
      <c r="D75" s="19"/>
      <c r="E75" s="19"/>
      <c r="F75" s="19"/>
    </row>
    <row r="76" spans="2:13">
      <c r="C76" s="13" t="s">
        <v>71</v>
      </c>
      <c r="D76" s="31"/>
      <c r="E76" s="31">
        <f t="shared" ref="E76:K76" si="41">E58-E67-E74</f>
        <v>0</v>
      </c>
      <c r="F76" s="31">
        <f t="shared" si="41"/>
        <v>0</v>
      </c>
      <c r="G76" s="31">
        <f t="shared" ca="1" si="41"/>
        <v>0</v>
      </c>
      <c r="H76" s="31">
        <f t="shared" ca="1" si="41"/>
        <v>2.4464679881930351E-7</v>
      </c>
      <c r="I76" s="31">
        <f t="shared" ca="1" si="41"/>
        <v>8.2125188782811165E-7</v>
      </c>
      <c r="J76" s="31">
        <f t="shared" ca="1" si="41"/>
        <v>1.7114332877099514E-5</v>
      </c>
      <c r="K76" s="31">
        <f t="shared" ca="1" si="41"/>
        <v>5.6569231674075127E-5</v>
      </c>
    </row>
    <row r="77" spans="2:13">
      <c r="E77" s="19"/>
      <c r="F77" s="19"/>
      <c r="H77" s="19"/>
      <c r="I77" s="19"/>
      <c r="J77" s="19"/>
      <c r="K77" s="19"/>
    </row>
    <row r="78" spans="2:13">
      <c r="B78" t="s">
        <v>172</v>
      </c>
      <c r="C78" s="6" t="s">
        <v>72</v>
      </c>
      <c r="D78" s="12"/>
      <c r="E78" s="12"/>
      <c r="F78" s="12"/>
      <c r="G78" s="12"/>
      <c r="H78" s="12"/>
      <c r="I78" s="12"/>
      <c r="J78" s="12"/>
      <c r="K78" s="12"/>
    </row>
    <row r="79" spans="2:13">
      <c r="C79" s="27" t="s">
        <v>9</v>
      </c>
      <c r="D79" s="24"/>
      <c r="E79" s="24"/>
      <c r="F79" s="24"/>
      <c r="G79" s="25">
        <v>2026</v>
      </c>
      <c r="H79" s="25">
        <f>G79+1</f>
        <v>2027</v>
      </c>
      <c r="I79" s="25">
        <f>H79+1</f>
        <v>2028</v>
      </c>
      <c r="J79" s="25">
        <f>I79+1</f>
        <v>2029</v>
      </c>
      <c r="K79" s="25">
        <f>J79+1</f>
        <v>2030</v>
      </c>
    </row>
    <row r="80" spans="2:13">
      <c r="C80" s="8" t="s">
        <v>10</v>
      </c>
      <c r="D80" s="26"/>
      <c r="E80" s="26"/>
      <c r="F80" s="26"/>
      <c r="G80" s="26">
        <f>DATE(2025,8,28)+364</f>
        <v>46261</v>
      </c>
      <c r="H80" s="26">
        <f>DATE(2026,8,27)+364</f>
        <v>46625</v>
      </c>
      <c r="I80" s="26">
        <f>DATE(2027,8,26)+371</f>
        <v>46996</v>
      </c>
      <c r="J80" s="26">
        <f>DATE(2028,8,31)+364</f>
        <v>47360</v>
      </c>
      <c r="K80" s="26">
        <f>DATE(2029,8,30)+364</f>
        <v>47724</v>
      </c>
    </row>
    <row r="82" spans="3:13">
      <c r="C82" t="s">
        <v>32</v>
      </c>
      <c r="D82" s="35"/>
      <c r="E82" s="35"/>
      <c r="F82" s="35"/>
      <c r="G82" s="16">
        <f ca="1">G31</f>
        <v>19099.431685819036</v>
      </c>
      <c r="H82" s="16">
        <f ca="1">H31</f>
        <v>21142.276987135097</v>
      </c>
      <c r="I82" s="16">
        <f ca="1">I31</f>
        <v>20188.214284398928</v>
      </c>
      <c r="J82" s="16">
        <f ca="1">J31</f>
        <v>17810.207814348774</v>
      </c>
      <c r="K82" s="16">
        <f ca="1">K31</f>
        <v>14946.657023224145</v>
      </c>
      <c r="M82" s="17"/>
    </row>
    <row r="83" spans="3:13">
      <c r="C83" t="s">
        <v>73</v>
      </c>
      <c r="D83" s="35"/>
      <c r="E83" s="35"/>
      <c r="F83" s="35"/>
      <c r="G83" s="16">
        <f ca="1">G33</f>
        <v>16187.277266928</v>
      </c>
      <c r="H83" s="16">
        <f ca="1">H116</f>
        <v>15738.47185945244</v>
      </c>
      <c r="I83" s="16">
        <f t="shared" ref="I83:K83" ca="1" si="42">I116</f>
        <v>16343.677403139513</v>
      </c>
      <c r="J83" s="16">
        <f t="shared" ca="1" si="42"/>
        <v>17372.287894891622</v>
      </c>
      <c r="K83" s="16">
        <f t="shared" ca="1" si="42"/>
        <v>18170.909785898006</v>
      </c>
    </row>
    <row r="84" spans="3:13">
      <c r="C84" t="s">
        <v>37</v>
      </c>
      <c r="D84" s="35"/>
      <c r="E84" s="35"/>
      <c r="F84" s="35"/>
      <c r="G84" s="16">
        <f ca="1">G35</f>
        <v>1417.7234996346513</v>
      </c>
      <c r="H84" s="16">
        <f ca="1">H35</f>
        <v>1755.8185882365667</v>
      </c>
      <c r="I84" s="16">
        <f ca="1">I35</f>
        <v>1937.7048713490954</v>
      </c>
      <c r="J84" s="16">
        <f ca="1">J35</f>
        <v>2051.598833173643</v>
      </c>
      <c r="K84" s="16">
        <f ca="1">K35</f>
        <v>2168.5181628997393</v>
      </c>
    </row>
    <row r="85" spans="3:13">
      <c r="C85" t="s">
        <v>74</v>
      </c>
      <c r="D85" s="19"/>
      <c r="E85" s="19"/>
      <c r="F85" s="19"/>
      <c r="G85" s="16">
        <f ca="1">SUM(F49:F51)-SUM(G49:G51)</f>
        <v>-6104.788343461576</v>
      </c>
      <c r="H85" s="16">
        <f ca="1">SUM(G49:G51)-SUM(H49:H51)</f>
        <v>-7379.7964762284137</v>
      </c>
      <c r="I85" s="16">
        <f ca="1">SUM(H49:H51)-SUM(I49:I51)</f>
        <v>-4976.6254343971086</v>
      </c>
      <c r="J85" s="16">
        <f ca="1">SUM(I49:I51)-SUM(J49:J51)</f>
        <v>-3931.8565420097075</v>
      </c>
      <c r="K85" s="16">
        <f ca="1">SUM(J49:J51)-SUM(K49:K51)</f>
        <v>-4189.9194964725975</v>
      </c>
    </row>
    <row r="86" spans="3:13">
      <c r="C86" t="s">
        <v>75</v>
      </c>
      <c r="D86" s="19"/>
      <c r="E86" s="19"/>
      <c r="F86" s="19"/>
      <c r="G86" s="16">
        <f ca="1">SUM(G60:G61)-SUM(F60:F61)</f>
        <v>2230.5540616013423</v>
      </c>
      <c r="H86" s="16">
        <f ca="1">SUM(H60:H61)-SUM(G60:G61)</f>
        <v>4866.8468590723132</v>
      </c>
      <c r="I86" s="16">
        <f ca="1">SUM(I60:I61)-SUM(H60:H61)</f>
        <v>3780.6067641905793</v>
      </c>
      <c r="J86" s="16">
        <f ca="1">SUM(J60:J61)-SUM(I60:I61)</f>
        <v>3309.2460402145371</v>
      </c>
      <c r="K86" s="16">
        <f ca="1">SUM(K60:K61)-SUM(J60:J61)</f>
        <v>3574.5629801007963</v>
      </c>
    </row>
    <row r="87" spans="3:13">
      <c r="C87" t="s">
        <v>56</v>
      </c>
      <c r="G87" s="16">
        <f ca="1">-G121</f>
        <v>-1357.9588507584879</v>
      </c>
      <c r="H87" s="16">
        <f t="shared" ref="H87:K87" ca="1" si="43">-H121</f>
        <v>-1060.8626429700639</v>
      </c>
      <c r="I87" s="16">
        <f t="shared" ca="1" si="43"/>
        <v>-613.91352032281429</v>
      </c>
      <c r="J87" s="16">
        <f t="shared" ca="1" si="43"/>
        <v>-414.8530242719915</v>
      </c>
      <c r="K87" s="16">
        <f t="shared" ca="1" si="43"/>
        <v>-418.14955403353076</v>
      </c>
      <c r="M87" t="s">
        <v>76</v>
      </c>
    </row>
    <row r="88" spans="3:13">
      <c r="C88" t="s">
        <v>63</v>
      </c>
      <c r="G88" s="16">
        <f ca="1">G66-F66</f>
        <v>661.70680038354067</v>
      </c>
      <c r="H88" s="16">
        <f ca="1">H66-G66</f>
        <v>501.92511610346082</v>
      </c>
      <c r="I88" s="16">
        <f ca="1">I66-H66</f>
        <v>270.02253758372308</v>
      </c>
      <c r="J88" s="16">
        <f ca="1">J66-I66</f>
        <v>169.08331986915846</v>
      </c>
      <c r="K88" s="16">
        <f ca="1">K66-J66</f>
        <v>173.57468394522311</v>
      </c>
      <c r="M88" s="17"/>
    </row>
    <row r="89" spans="3:13">
      <c r="C89" s="17" t="s">
        <v>77</v>
      </c>
      <c r="G89" s="30">
        <f ca="1">SUM(G82:G88)</f>
        <v>32133.946120146509</v>
      </c>
      <c r="H89" s="30">
        <f t="shared" ref="H89:K89" ca="1" si="44">SUM(H82:H88)</f>
        <v>35564.680290801392</v>
      </c>
      <c r="I89" s="30">
        <f t="shared" ca="1" si="44"/>
        <v>36929.686905941911</v>
      </c>
      <c r="J89" s="30">
        <f t="shared" ca="1" si="44"/>
        <v>36365.714336216035</v>
      </c>
      <c r="K89" s="30">
        <f t="shared" ca="1" si="44"/>
        <v>34426.153585561784</v>
      </c>
    </row>
    <row r="91" spans="3:13">
      <c r="C91" t="s">
        <v>78</v>
      </c>
      <c r="G91" s="16">
        <f>-G107</f>
        <v>-21474</v>
      </c>
      <c r="H91" s="16">
        <f t="shared" ref="H91:K91" si="45">-H107</f>
        <v>-20123</v>
      </c>
      <c r="I91" s="16">
        <f t="shared" si="45"/>
        <v>-20187</v>
      </c>
      <c r="J91" s="16">
        <f t="shared" si="45"/>
        <v>-20761</v>
      </c>
      <c r="K91" s="16">
        <f t="shared" si="45"/>
        <v>-21032</v>
      </c>
    </row>
    <row r="92" spans="3:13">
      <c r="C92" s="17" t="s">
        <v>79</v>
      </c>
      <c r="G92" s="18">
        <f>G91</f>
        <v>-21474</v>
      </c>
      <c r="H92" s="18">
        <f t="shared" ref="H92:K92" si="46">H91</f>
        <v>-20123</v>
      </c>
      <c r="I92" s="18">
        <f t="shared" si="46"/>
        <v>-20187</v>
      </c>
      <c r="J92" s="18">
        <f t="shared" si="46"/>
        <v>-20761</v>
      </c>
      <c r="K92" s="18">
        <f t="shared" si="46"/>
        <v>-21032</v>
      </c>
    </row>
    <row r="94" spans="3:13">
      <c r="C94" t="s">
        <v>80</v>
      </c>
      <c r="G94" s="16">
        <f>G63-F63</f>
        <v>0</v>
      </c>
      <c r="H94" s="16">
        <f>H63-G63</f>
        <v>0</v>
      </c>
      <c r="I94" s="16">
        <f>I63-H63</f>
        <v>0</v>
      </c>
      <c r="J94" s="16">
        <f>J63-I63</f>
        <v>0</v>
      </c>
      <c r="K94" s="16">
        <f>K63-J63</f>
        <v>0</v>
      </c>
    </row>
    <row r="95" spans="3:13">
      <c r="C95" t="s">
        <v>81</v>
      </c>
      <c r="G95" s="16">
        <f ca="1">G62-F62</f>
        <v>-510</v>
      </c>
      <c r="H95" s="16">
        <f ca="1">H62-G62</f>
        <v>0</v>
      </c>
      <c r="I95" s="16">
        <f ca="1">I62-H62</f>
        <v>0</v>
      </c>
      <c r="J95" s="16">
        <f ca="1">J62-I62</f>
        <v>0</v>
      </c>
      <c r="K95" s="16">
        <f ca="1">K62-J62</f>
        <v>0</v>
      </c>
    </row>
    <row r="96" spans="3:13">
      <c r="C96" t="s">
        <v>82</v>
      </c>
      <c r="G96" s="16">
        <f>G128</f>
        <v>-306</v>
      </c>
      <c r="H96" s="16">
        <f t="shared" ref="H96:K96" si="47">H128</f>
        <v>-306</v>
      </c>
      <c r="I96" s="16">
        <f t="shared" si="47"/>
        <v>-306</v>
      </c>
      <c r="J96" s="16">
        <f t="shared" si="47"/>
        <v>-306</v>
      </c>
      <c r="K96" s="16">
        <f t="shared" si="47"/>
        <v>-306</v>
      </c>
    </row>
    <row r="97" spans="2:17">
      <c r="C97" t="s">
        <v>83</v>
      </c>
      <c r="G97" s="16">
        <f>G127</f>
        <v>-527</v>
      </c>
      <c r="H97" s="16">
        <f t="shared" ref="H97:K97" si="48">H127</f>
        <v>-527</v>
      </c>
      <c r="I97" s="16">
        <f t="shared" si="48"/>
        <v>-527</v>
      </c>
      <c r="J97" s="16">
        <f t="shared" si="48"/>
        <v>-527</v>
      </c>
      <c r="K97" s="16">
        <f t="shared" si="48"/>
        <v>-527</v>
      </c>
    </row>
    <row r="98" spans="2:17">
      <c r="C98" s="17" t="s">
        <v>84</v>
      </c>
      <c r="G98" s="30">
        <f ca="1">SUM(G94:G97)</f>
        <v>-1343</v>
      </c>
      <c r="H98" s="30">
        <f t="shared" ref="H98:K98" ca="1" si="49">SUM(H94:H97)</f>
        <v>-833</v>
      </c>
      <c r="I98" s="30">
        <f t="shared" ca="1" si="49"/>
        <v>-833</v>
      </c>
      <c r="J98" s="30">
        <f t="shared" ca="1" si="49"/>
        <v>-833</v>
      </c>
      <c r="K98" s="30">
        <f t="shared" ca="1" si="49"/>
        <v>-833</v>
      </c>
    </row>
    <row r="100" spans="2:17">
      <c r="C100" s="17" t="s">
        <v>85</v>
      </c>
      <c r="G100" s="30">
        <f ca="1">G98+G89+G92</f>
        <v>9316.9461201465092</v>
      </c>
      <c r="H100" s="30">
        <f t="shared" ref="H100:K100" ca="1" si="50">H98+H89+H92</f>
        <v>14608.680290801392</v>
      </c>
      <c r="I100" s="30">
        <f t="shared" ca="1" si="50"/>
        <v>15909.686905941911</v>
      </c>
      <c r="J100" s="30">
        <f t="shared" ca="1" si="50"/>
        <v>14771.714336216035</v>
      </c>
      <c r="K100" s="30">
        <f t="shared" ca="1" si="50"/>
        <v>12561.153585561784</v>
      </c>
    </row>
    <row r="102" spans="2:17">
      <c r="B102" t="s">
        <v>172</v>
      </c>
      <c r="C102" s="6" t="s">
        <v>86</v>
      </c>
      <c r="D102" s="8"/>
      <c r="E102" s="8"/>
      <c r="F102" s="8"/>
      <c r="G102" s="8"/>
      <c r="H102" s="8"/>
      <c r="I102" s="8"/>
      <c r="J102" s="8"/>
      <c r="K102" s="8"/>
    </row>
    <row r="103" spans="2:17">
      <c r="C103" s="27" t="s">
        <v>9</v>
      </c>
      <c r="D103" s="24">
        <f>E103-1</f>
        <v>2023</v>
      </c>
      <c r="E103" s="24">
        <f>F103-1</f>
        <v>2024</v>
      </c>
      <c r="F103" s="24">
        <v>2025</v>
      </c>
      <c r="G103" s="25">
        <v>2026</v>
      </c>
      <c r="H103" s="25">
        <f>G103+1</f>
        <v>2027</v>
      </c>
      <c r="I103" s="25">
        <f>H103+1</f>
        <v>2028</v>
      </c>
      <c r="J103" s="25">
        <f>I103+1</f>
        <v>2029</v>
      </c>
      <c r="K103" s="25">
        <f>J103+1</f>
        <v>2030</v>
      </c>
    </row>
    <row r="104" spans="2:17">
      <c r="C104" s="8" t="s">
        <v>10</v>
      </c>
      <c r="D104" s="26">
        <f>DATE(2024,8,29)-364</f>
        <v>45169</v>
      </c>
      <c r="E104" s="26">
        <f>DATE(2025,8,28)-364</f>
        <v>45533</v>
      </c>
      <c r="F104" s="26">
        <f>D10</f>
        <v>45897</v>
      </c>
      <c r="G104" s="26">
        <f>DATE(2025,8,28)+364</f>
        <v>46261</v>
      </c>
      <c r="H104" s="26">
        <f>DATE(2026,8,27)+364</f>
        <v>46625</v>
      </c>
      <c r="I104" s="26">
        <f>DATE(2027,8,26)+371</f>
        <v>46996</v>
      </c>
      <c r="J104" s="26">
        <f>DATE(2028,8,31)+364</f>
        <v>47360</v>
      </c>
      <c r="K104" s="26">
        <f>DATE(2029,8,30)+364</f>
        <v>47724</v>
      </c>
    </row>
    <row r="105" spans="2:17">
      <c r="C105" s="17"/>
      <c r="G105" s="75" t="s">
        <v>87</v>
      </c>
      <c r="H105" s="75"/>
      <c r="I105" s="75"/>
      <c r="J105" s="75"/>
      <c r="K105" s="75"/>
    </row>
    <row r="106" spans="2:17">
      <c r="C106" s="29" t="s">
        <v>88</v>
      </c>
      <c r="G106" s="60">
        <f>F109</f>
        <v>46590</v>
      </c>
      <c r="H106" s="60">
        <f>G109</f>
        <v>51958.5</v>
      </c>
      <c r="I106" s="60">
        <f t="shared" ref="I106:K106" si="51">H109</f>
        <v>56435.8675</v>
      </c>
      <c r="J106" s="60">
        <f t="shared" si="51"/>
        <v>60372.332499999997</v>
      </c>
      <c r="K106" s="60">
        <f t="shared" si="51"/>
        <v>63849.799999999988</v>
      </c>
      <c r="M106" t="s">
        <v>89</v>
      </c>
    </row>
    <row r="107" spans="2:17">
      <c r="C107" s="32" t="s">
        <v>90</v>
      </c>
      <c r="D107" s="4">
        <v>7680</v>
      </c>
      <c r="E107" s="4">
        <v>8390</v>
      </c>
      <c r="F107" s="4">
        <v>15860</v>
      </c>
      <c r="G107" s="4">
        <v>21474</v>
      </c>
      <c r="H107" s="4">
        <v>20123</v>
      </c>
      <c r="I107" s="4">
        <v>20187</v>
      </c>
      <c r="J107" s="4">
        <v>20761</v>
      </c>
      <c r="K107" s="4">
        <v>21032</v>
      </c>
      <c r="M107" t="s">
        <v>176</v>
      </c>
    </row>
    <row r="108" spans="2:17">
      <c r="C108" s="69" t="s">
        <v>91</v>
      </c>
      <c r="D108" s="63">
        <v>-7670</v>
      </c>
      <c r="E108" s="63">
        <v>-7700</v>
      </c>
      <c r="F108" s="63">
        <v>-8280</v>
      </c>
      <c r="G108" s="97">
        <f>-(G107*G111)</f>
        <v>-16105.5</v>
      </c>
      <c r="H108" s="97">
        <f t="shared" ref="H108:K108" si="52">-(H107*H111)</f>
        <v>-15645.6325</v>
      </c>
      <c r="I108" s="97">
        <f t="shared" si="52"/>
        <v>-16250.534999999998</v>
      </c>
      <c r="J108" s="97">
        <f t="shared" si="52"/>
        <v>-17283.532499999998</v>
      </c>
      <c r="K108" s="97">
        <f t="shared" si="52"/>
        <v>-18087.519999999997</v>
      </c>
      <c r="M108" t="s">
        <v>92</v>
      </c>
    </row>
    <row r="109" spans="2:17">
      <c r="C109" s="36" t="s">
        <v>93</v>
      </c>
      <c r="D109" s="30"/>
      <c r="E109" s="30">
        <f>E52</f>
        <v>39749</v>
      </c>
      <c r="F109" s="30">
        <f>F52</f>
        <v>46590</v>
      </c>
      <c r="G109" s="96">
        <f>SUM(G106:G108)</f>
        <v>51958.5</v>
      </c>
      <c r="H109" s="96">
        <f t="shared" ref="H109:K109" si="53">SUM(H106:H108)</f>
        <v>56435.8675</v>
      </c>
      <c r="I109" s="96">
        <f t="shared" si="53"/>
        <v>60372.332499999997</v>
      </c>
      <c r="J109" s="96">
        <f t="shared" si="53"/>
        <v>63849.799999999988</v>
      </c>
      <c r="K109" s="96">
        <f t="shared" si="53"/>
        <v>66794.28</v>
      </c>
      <c r="M109" t="s">
        <v>94</v>
      </c>
    </row>
    <row r="110" spans="2:17">
      <c r="C110" s="29"/>
      <c r="L110" s="20" t="s">
        <v>95</v>
      </c>
    </row>
    <row r="111" spans="2:17">
      <c r="C111" s="29" t="s">
        <v>96</v>
      </c>
      <c r="D111" s="5">
        <f>-(D108/D107)</f>
        <v>0.99869791666666663</v>
      </c>
      <c r="E111" s="5">
        <f>-(E108/E107)</f>
        <v>0.91775923718712749</v>
      </c>
      <c r="F111" s="5">
        <f>-(F108/F107)</f>
        <v>0.5220680958385876</v>
      </c>
      <c r="G111" s="92">
        <v>0.75</v>
      </c>
      <c r="H111" s="92">
        <f>G111+$L$111</f>
        <v>0.77749999999999997</v>
      </c>
      <c r="I111" s="92">
        <f>H111+$L$111</f>
        <v>0.80499999999999994</v>
      </c>
      <c r="J111" s="92">
        <f>I111+$L$111</f>
        <v>0.83249999999999991</v>
      </c>
      <c r="K111" s="92">
        <f>J111+$L$111</f>
        <v>0.85999999999999988</v>
      </c>
      <c r="L111" s="56">
        <v>2.75E-2</v>
      </c>
    </row>
    <row r="112" spans="2:17">
      <c r="C112" s="29"/>
      <c r="D112" s="5"/>
      <c r="E112" s="5"/>
      <c r="F112" s="5"/>
      <c r="G112" s="22"/>
      <c r="H112" s="22"/>
      <c r="I112" s="22"/>
      <c r="J112" s="22"/>
      <c r="K112" s="22"/>
      <c r="O112" s="65"/>
      <c r="P112" s="65"/>
      <c r="Q112" s="65"/>
    </row>
    <row r="113" spans="2:17">
      <c r="B113" t="s">
        <v>172</v>
      </c>
      <c r="C113" s="89" t="s">
        <v>97</v>
      </c>
      <c r="D113" s="33"/>
      <c r="E113" s="33"/>
      <c r="F113" s="33"/>
      <c r="G113" s="90"/>
      <c r="H113" s="90"/>
      <c r="I113" s="90"/>
      <c r="J113" s="90"/>
      <c r="K113" s="90"/>
      <c r="O113" s="65"/>
      <c r="P113" s="65"/>
      <c r="Q113" s="65"/>
    </row>
    <row r="114" spans="2:17">
      <c r="C114" s="29" t="s">
        <v>98</v>
      </c>
      <c r="D114" s="19">
        <f>D116+D108</f>
        <v>86</v>
      </c>
      <c r="E114" s="19">
        <f t="shared" ref="E114:F114" si="54">E116+E108</f>
        <v>80</v>
      </c>
      <c r="F114" s="19">
        <f t="shared" si="54"/>
        <v>72</v>
      </c>
      <c r="G114" s="93">
        <f ca="1">G115*G18</f>
        <v>81.777266927999989</v>
      </c>
      <c r="H114" s="93">
        <f ca="1">H115*H18</f>
        <v>92.839359452439595</v>
      </c>
      <c r="I114" s="93">
        <f ca="1">I115*I18</f>
        <v>93.142403139514499</v>
      </c>
      <c r="J114" s="93">
        <f ca="1">J115*J18</f>
        <v>88.755394891625471</v>
      </c>
      <c r="K114" s="93">
        <f ca="1">K115*K18</f>
        <v>83.3897858980107</v>
      </c>
      <c r="L114" s="20" t="s">
        <v>95</v>
      </c>
      <c r="O114" s="65"/>
      <c r="P114" s="65"/>
      <c r="Q114" s="65"/>
    </row>
    <row r="115" spans="2:17">
      <c r="C115" s="21" t="s">
        <v>99</v>
      </c>
      <c r="D115" s="61">
        <f>D114/D18</f>
        <v>5.5341055341055342E-3</v>
      </c>
      <c r="E115" s="61">
        <f>E114/E18</f>
        <v>3.1858548046672774E-3</v>
      </c>
      <c r="F115" s="61">
        <f>F114/F18</f>
        <v>1.9262667879501312E-3</v>
      </c>
      <c r="G115" s="92">
        <v>1.5E-3</v>
      </c>
      <c r="H115" s="92">
        <f>G115-$L$115</f>
        <v>1.3749999999999999E-3</v>
      </c>
      <c r="I115" s="92">
        <f>H115-$L$115</f>
        <v>1.2499999999999998E-3</v>
      </c>
      <c r="J115" s="92">
        <f>I115-$L$115</f>
        <v>1.1249999999999997E-3</v>
      </c>
      <c r="K115" s="92">
        <f>J115-$L$115</f>
        <v>9.9999999999999959E-4</v>
      </c>
      <c r="L115" s="144">
        <v>1.25E-4</v>
      </c>
      <c r="O115" s="65"/>
      <c r="P115" s="65"/>
      <c r="Q115" s="65"/>
    </row>
    <row r="116" spans="2:17">
      <c r="C116" s="28" t="s">
        <v>100</v>
      </c>
      <c r="D116" s="30">
        <f>D33</f>
        <v>7756</v>
      </c>
      <c r="E116" s="30">
        <f>E33</f>
        <v>7780</v>
      </c>
      <c r="F116" s="30">
        <f>F33</f>
        <v>8352</v>
      </c>
      <c r="G116" s="94">
        <f ca="1">-(G108-G114)</f>
        <v>16187.277266928</v>
      </c>
      <c r="H116" s="94">
        <f t="shared" ref="H116:K116" ca="1" si="55">-(H108-H114)</f>
        <v>15738.47185945244</v>
      </c>
      <c r="I116" s="94">
        <f t="shared" ca="1" si="55"/>
        <v>16343.677403139513</v>
      </c>
      <c r="J116" s="94">
        <f t="shared" ca="1" si="55"/>
        <v>17372.287894891622</v>
      </c>
      <c r="K116" s="94">
        <f t="shared" ca="1" si="55"/>
        <v>18170.909785898006</v>
      </c>
      <c r="O116" s="65"/>
      <c r="P116" s="65"/>
      <c r="Q116" s="65"/>
    </row>
    <row r="117" spans="2:17">
      <c r="H117" s="19"/>
      <c r="I117" s="19"/>
      <c r="J117" s="19"/>
      <c r="K117" s="19"/>
    </row>
    <row r="118" spans="2:17">
      <c r="C118" s="43" t="s">
        <v>101</v>
      </c>
      <c r="D118" s="8"/>
      <c r="E118" s="8"/>
      <c r="F118" s="8"/>
      <c r="H118" s="19"/>
      <c r="I118" s="19"/>
      <c r="J118" s="19"/>
      <c r="K118" s="19"/>
    </row>
    <row r="119" spans="2:17">
      <c r="C119" s="29" t="s">
        <v>88</v>
      </c>
      <c r="D119" s="19"/>
      <c r="G119" s="99">
        <f>F122</f>
        <v>2783</v>
      </c>
      <c r="H119" s="99">
        <f t="shared" ref="H119:K119" ca="1" si="56">G122</f>
        <v>4059.1815838304879</v>
      </c>
      <c r="I119" s="99">
        <f t="shared" ca="1" si="56"/>
        <v>5027.2048673481122</v>
      </c>
      <c r="J119" s="99">
        <f t="shared" ca="1" si="56"/>
        <v>5547.975984531412</v>
      </c>
      <c r="K119" s="99">
        <f t="shared" ca="1" si="56"/>
        <v>5874.073613911778</v>
      </c>
      <c r="M119" t="s">
        <v>89</v>
      </c>
    </row>
    <row r="120" spans="2:17">
      <c r="C120" s="21" t="s">
        <v>177</v>
      </c>
      <c r="G120" s="19">
        <f ca="1">-G114</f>
        <v>-81.777266927999989</v>
      </c>
      <c r="H120" s="19">
        <f t="shared" ref="H120:K120" ca="1" si="57">-H114</f>
        <v>-92.839359452439595</v>
      </c>
      <c r="I120" s="19">
        <f t="shared" ca="1" si="57"/>
        <v>-93.142403139514499</v>
      </c>
      <c r="J120" s="19">
        <f t="shared" ca="1" si="57"/>
        <v>-88.755394891625471</v>
      </c>
      <c r="K120" s="19">
        <f t="shared" ca="1" si="57"/>
        <v>-83.3897858980107</v>
      </c>
      <c r="M120" t="s">
        <v>102</v>
      </c>
    </row>
    <row r="121" spans="2:17">
      <c r="C121" s="70" t="s">
        <v>103</v>
      </c>
      <c r="D121" s="67"/>
      <c r="E121" s="67"/>
      <c r="F121" s="68"/>
      <c r="G121" s="98">
        <f ca="1">G122-G119-G120</f>
        <v>1357.9588507584879</v>
      </c>
      <c r="H121" s="98">
        <f t="shared" ref="H121:K121" ca="1" si="58">H122-H119-H120</f>
        <v>1060.8626429700639</v>
      </c>
      <c r="I121" s="98">
        <f t="shared" ca="1" si="58"/>
        <v>613.91352032281429</v>
      </c>
      <c r="J121" s="98">
        <f t="shared" ca="1" si="58"/>
        <v>414.8530242719915</v>
      </c>
      <c r="K121" s="98">
        <f t="shared" ca="1" si="58"/>
        <v>418.14955403353076</v>
      </c>
      <c r="M121" t="s">
        <v>104</v>
      </c>
    </row>
    <row r="122" spans="2:17">
      <c r="C122" s="36" t="s">
        <v>93</v>
      </c>
      <c r="E122" s="30">
        <f t="shared" ref="E122:K122" si="59">E57</f>
        <v>1518</v>
      </c>
      <c r="F122" s="30">
        <f t="shared" si="59"/>
        <v>2783</v>
      </c>
      <c r="G122" s="30">
        <f t="shared" ca="1" si="59"/>
        <v>4059.1815838304879</v>
      </c>
      <c r="H122" s="30">
        <f t="shared" ca="1" si="59"/>
        <v>5027.2048673481122</v>
      </c>
      <c r="I122" s="30">
        <f t="shared" ca="1" si="59"/>
        <v>5547.975984531412</v>
      </c>
      <c r="J122" s="30">
        <f t="shared" ca="1" si="59"/>
        <v>5874.073613911778</v>
      </c>
      <c r="K122" s="30">
        <f t="shared" ca="1" si="59"/>
        <v>6208.8333820472981</v>
      </c>
      <c r="M122" t="s">
        <v>105</v>
      </c>
    </row>
    <row r="123" spans="2:17">
      <c r="C123" s="21"/>
      <c r="E123" s="19"/>
      <c r="F123" s="19"/>
      <c r="H123" s="19"/>
      <c r="I123" s="19"/>
      <c r="J123" s="19"/>
      <c r="K123" s="19"/>
    </row>
    <row r="124" spans="2:17">
      <c r="B124" t="s">
        <v>172</v>
      </c>
      <c r="C124" s="44" t="s">
        <v>106</v>
      </c>
      <c r="D124" s="43"/>
      <c r="E124" s="43"/>
      <c r="F124" s="43"/>
      <c r="G124" s="8"/>
      <c r="H124" s="8"/>
      <c r="I124" s="8"/>
      <c r="J124" s="8"/>
      <c r="K124" s="8"/>
    </row>
    <row r="125" spans="2:17">
      <c r="C125" s="29" t="s">
        <v>88</v>
      </c>
      <c r="G125" s="60">
        <f>F129</f>
        <v>48583</v>
      </c>
      <c r="H125" s="60">
        <f t="shared" ref="H125:K125" ca="1" si="60">G129</f>
        <v>66849.431685817573</v>
      </c>
      <c r="I125" s="60">
        <f t="shared" ca="1" si="60"/>
        <v>87158.708672705092</v>
      </c>
      <c r="J125" s="60">
        <f t="shared" ca="1" si="60"/>
        <v>106513.92295651868</v>
      </c>
      <c r="K125" s="60">
        <f t="shared" ca="1" si="60"/>
        <v>123491.13075454812</v>
      </c>
      <c r="M125" t="s">
        <v>89</v>
      </c>
    </row>
    <row r="126" spans="2:17">
      <c r="C126" s="21" t="s">
        <v>107</v>
      </c>
      <c r="D126" s="16">
        <f t="shared" ref="D126:K126" si="61">D31</f>
        <v>-5835</v>
      </c>
      <c r="E126" s="16">
        <f t="shared" si="61"/>
        <v>789</v>
      </c>
      <c r="F126" s="16">
        <f t="shared" si="61"/>
        <v>8530</v>
      </c>
      <c r="G126" s="60">
        <f t="shared" ca="1" si="61"/>
        <v>19099.431685819036</v>
      </c>
      <c r="H126" s="60">
        <f t="shared" ca="1" si="61"/>
        <v>21142.276987135097</v>
      </c>
      <c r="I126" s="60">
        <f t="shared" ca="1" si="61"/>
        <v>20188.214284398928</v>
      </c>
      <c r="J126" s="60">
        <f t="shared" ca="1" si="61"/>
        <v>17810.207814348774</v>
      </c>
      <c r="K126" s="60">
        <f t="shared" ca="1" si="61"/>
        <v>14946.657023224145</v>
      </c>
      <c r="M126" t="s">
        <v>108</v>
      </c>
    </row>
    <row r="127" spans="2:17">
      <c r="C127" s="21" t="s">
        <v>109</v>
      </c>
      <c r="D127" s="4">
        <v>-509</v>
      </c>
      <c r="E127" s="4">
        <v>-518</v>
      </c>
      <c r="F127" s="4">
        <v>-527</v>
      </c>
      <c r="G127" s="60">
        <f>F127</f>
        <v>-527</v>
      </c>
      <c r="H127" s="60">
        <f t="shared" ref="H127:K127" si="62">G127</f>
        <v>-527</v>
      </c>
      <c r="I127" s="60">
        <f t="shared" si="62"/>
        <v>-527</v>
      </c>
      <c r="J127" s="60">
        <f t="shared" si="62"/>
        <v>-527</v>
      </c>
      <c r="K127" s="60">
        <f t="shared" si="62"/>
        <v>-527</v>
      </c>
      <c r="M127" t="s">
        <v>194</v>
      </c>
    </row>
    <row r="128" spans="2:17">
      <c r="C128" s="70" t="s">
        <v>110</v>
      </c>
      <c r="D128" s="63">
        <v>-108</v>
      </c>
      <c r="E128" s="63">
        <v>-207</v>
      </c>
      <c r="F128" s="63">
        <v>-306</v>
      </c>
      <c r="G128" s="97">
        <f>F128</f>
        <v>-306</v>
      </c>
      <c r="H128" s="97">
        <f t="shared" ref="H128:K128" si="63">G128</f>
        <v>-306</v>
      </c>
      <c r="I128" s="97">
        <f t="shared" si="63"/>
        <v>-306</v>
      </c>
      <c r="J128" s="97">
        <f t="shared" si="63"/>
        <v>-306</v>
      </c>
      <c r="K128" s="97">
        <f t="shared" si="63"/>
        <v>-306</v>
      </c>
      <c r="M128" t="s">
        <v>194</v>
      </c>
    </row>
    <row r="129" spans="2:17">
      <c r="C129" s="36" t="s">
        <v>93</v>
      </c>
      <c r="D129" s="18">
        <v>40824</v>
      </c>
      <c r="E129" s="18">
        <f>E71</f>
        <v>40877</v>
      </c>
      <c r="F129" s="18">
        <f>F71</f>
        <v>48583</v>
      </c>
      <c r="G129" s="60">
        <f ca="1">SUM(G125:G128)</f>
        <v>66849.431685819029</v>
      </c>
      <c r="H129" s="60">
        <f t="shared" ref="H129:K129" ca="1" si="64">SUM(H125:H128)</f>
        <v>87158.708672952664</v>
      </c>
      <c r="I129" s="60">
        <f t="shared" ca="1" si="64"/>
        <v>106513.92295710402</v>
      </c>
      <c r="J129" s="60">
        <f t="shared" ca="1" si="64"/>
        <v>123491.13077086746</v>
      </c>
      <c r="K129" s="60">
        <f t="shared" ca="1" si="64"/>
        <v>137604.78777777226</v>
      </c>
      <c r="M129" t="s">
        <v>111</v>
      </c>
    </row>
    <row r="130" spans="2:17">
      <c r="E130" s="35"/>
      <c r="F130" s="35"/>
    </row>
    <row r="131" spans="2:17">
      <c r="B131" t="s">
        <v>172</v>
      </c>
      <c r="C131" s="6" t="s">
        <v>112</v>
      </c>
      <c r="D131" s="8"/>
      <c r="E131" s="8"/>
      <c r="F131" s="8"/>
      <c r="G131" s="8"/>
      <c r="H131" s="8"/>
      <c r="I131" s="8"/>
      <c r="J131" s="8"/>
      <c r="K131" s="8"/>
      <c r="O131" s="65"/>
      <c r="P131" s="65"/>
    </row>
    <row r="132" spans="2:17">
      <c r="C132" s="27" t="str">
        <f>C15</f>
        <v xml:space="preserve">Fiscal year  </v>
      </c>
      <c r="D132" s="24">
        <f>E132-1</f>
        <v>2023</v>
      </c>
      <c r="E132" s="24">
        <f>F132-1</f>
        <v>2024</v>
      </c>
      <c r="F132" s="24">
        <v>2025</v>
      </c>
      <c r="G132" s="25">
        <v>2026</v>
      </c>
      <c r="H132" s="25">
        <f>G132+1</f>
        <v>2027</v>
      </c>
      <c r="I132" s="25">
        <f>H132+1</f>
        <v>2028</v>
      </c>
      <c r="J132" s="25">
        <f>I132+1</f>
        <v>2029</v>
      </c>
      <c r="K132" s="25">
        <f>J132+1</f>
        <v>2030</v>
      </c>
      <c r="O132" s="65"/>
      <c r="P132" s="65"/>
    </row>
    <row r="133" spans="2:17">
      <c r="C133" s="8" t="str">
        <f>C16</f>
        <v>Fiscal year end date</v>
      </c>
      <c r="D133" s="26">
        <f>DATE(2024,8,29)-364</f>
        <v>45169</v>
      </c>
      <c r="E133" s="26">
        <f>DATE(2025,8,28)-364</f>
        <v>45533</v>
      </c>
      <c r="F133" s="26">
        <f>D10</f>
        <v>45897</v>
      </c>
      <c r="G133" s="26">
        <f>DATE(2025,8,28)+364</f>
        <v>46261</v>
      </c>
      <c r="H133" s="26">
        <f>DATE(2026,8,27)+364</f>
        <v>46625</v>
      </c>
      <c r="I133" s="26">
        <f>DATE(2027,8,26)+371</f>
        <v>46996</v>
      </c>
      <c r="J133" s="26">
        <f>DATE(2028,8,31)+364</f>
        <v>47360</v>
      </c>
      <c r="K133" s="26">
        <f>DATE(2029,8,30)+364</f>
        <v>47724</v>
      </c>
      <c r="O133" s="65"/>
      <c r="P133" s="65"/>
    </row>
    <row r="134" spans="2:17">
      <c r="C134" s="17"/>
      <c r="O134" s="65"/>
      <c r="P134" s="65"/>
    </row>
    <row r="135" spans="2:17">
      <c r="C135" s="20" t="s">
        <v>113</v>
      </c>
      <c r="O135" s="65"/>
      <c r="P135" s="65"/>
      <c r="Q135" s="65"/>
    </row>
    <row r="136" spans="2:17">
      <c r="C136" s="21" t="s">
        <v>114</v>
      </c>
      <c r="G136" s="60">
        <f>F48</f>
        <v>11936</v>
      </c>
      <c r="H136" s="60">
        <f ca="1">G48</f>
        <v>21252.946120145047</v>
      </c>
      <c r="I136" s="60">
        <f ca="1">H48</f>
        <v>35861.626410943529</v>
      </c>
      <c r="J136" s="60">
        <f ca="1">I48</f>
        <v>51771.313316876709</v>
      </c>
      <c r="K136" s="60">
        <f ca="1">J48</f>
        <v>66543.0276530665</v>
      </c>
      <c r="M136" t="s">
        <v>115</v>
      </c>
      <c r="O136" s="65"/>
      <c r="P136" s="65"/>
    </row>
    <row r="137" spans="2:17">
      <c r="C137" s="21" t="s">
        <v>116</v>
      </c>
      <c r="G137" s="4">
        <v>-10000</v>
      </c>
      <c r="H137" s="4">
        <v>-10000</v>
      </c>
      <c r="I137" s="4">
        <v>-10000</v>
      </c>
      <c r="J137" s="4">
        <v>-10000</v>
      </c>
      <c r="K137" s="4">
        <v>-10000</v>
      </c>
      <c r="M137" t="s">
        <v>193</v>
      </c>
      <c r="O137" s="65"/>
      <c r="P137" s="65"/>
    </row>
    <row r="138" spans="2:17">
      <c r="C138" s="70" t="s">
        <v>117</v>
      </c>
      <c r="D138" s="67"/>
      <c r="E138" s="67"/>
      <c r="F138" s="67"/>
      <c r="G138" s="60">
        <f ca="1">SUM(G89,G92,G94,G96,G97)</f>
        <v>9826.9461201465092</v>
      </c>
      <c r="H138" s="60">
        <f t="shared" ref="H138:K138" ca="1" si="65">SUM(H89,H92,H94,H96,H97)</f>
        <v>14608.680290801392</v>
      </c>
      <c r="I138" s="60">
        <f t="shared" ca="1" si="65"/>
        <v>15909.686905941911</v>
      </c>
      <c r="J138" s="60">
        <f t="shared" ca="1" si="65"/>
        <v>14771.714336216035</v>
      </c>
      <c r="K138" s="60">
        <f t="shared" ca="1" si="65"/>
        <v>12561.153585561784</v>
      </c>
      <c r="M138" t="s">
        <v>118</v>
      </c>
    </row>
    <row r="139" spans="2:17">
      <c r="C139" s="36" t="s">
        <v>119</v>
      </c>
      <c r="G139" s="30">
        <f ca="1">SUM(G136:G138)</f>
        <v>11762.946120146509</v>
      </c>
      <c r="H139" s="30">
        <f t="shared" ref="H139:K139" ca="1" si="66">SUM(H136:H138)</f>
        <v>25861.626410946439</v>
      </c>
      <c r="I139" s="30">
        <f t="shared" ca="1" si="66"/>
        <v>41771.31331688544</v>
      </c>
      <c r="J139" s="30">
        <f t="shared" ca="1" si="66"/>
        <v>56543.027653092744</v>
      </c>
      <c r="K139" s="30">
        <f t="shared" ca="1" si="66"/>
        <v>69104.181238628284</v>
      </c>
    </row>
    <row r="141" spans="2:17">
      <c r="C141" s="17" t="s">
        <v>120</v>
      </c>
    </row>
    <row r="142" spans="2:17">
      <c r="C142" s="21" t="s">
        <v>88</v>
      </c>
      <c r="G142" s="60">
        <f>F145</f>
        <v>560</v>
      </c>
      <c r="H142" s="60">
        <f t="shared" ref="H142:K142" ca="1" si="67">G145</f>
        <v>50</v>
      </c>
      <c r="I142" s="60">
        <f t="shared" ca="1" si="67"/>
        <v>50</v>
      </c>
      <c r="J142" s="60">
        <f t="shared" ca="1" si="67"/>
        <v>50</v>
      </c>
      <c r="K142" s="60">
        <f t="shared" ca="1" si="67"/>
        <v>50</v>
      </c>
      <c r="M142" t="s">
        <v>89</v>
      </c>
    </row>
    <row r="143" spans="2:17">
      <c r="C143" s="32" t="s">
        <v>121</v>
      </c>
      <c r="G143" s="60">
        <f ca="1">-MIN(G139,G142)</f>
        <v>-560</v>
      </c>
      <c r="H143" s="60">
        <f t="shared" ref="H143:K143" ca="1" si="68">-MIN(H139,H142)</f>
        <v>-50</v>
      </c>
      <c r="I143" s="60">
        <f t="shared" ca="1" si="68"/>
        <v>-50</v>
      </c>
      <c r="J143" s="60">
        <f t="shared" ca="1" si="68"/>
        <v>-50</v>
      </c>
      <c r="K143" s="60">
        <f t="shared" ca="1" si="68"/>
        <v>-50</v>
      </c>
      <c r="M143" t="s">
        <v>122</v>
      </c>
    </row>
    <row r="144" spans="2:17">
      <c r="C144" s="69" t="s">
        <v>123</v>
      </c>
      <c r="D144" s="67"/>
      <c r="E144" s="67"/>
      <c r="F144" s="67"/>
      <c r="G144" s="63">
        <v>50</v>
      </c>
      <c r="H144" s="63">
        <v>50</v>
      </c>
      <c r="I144" s="63">
        <v>50</v>
      </c>
      <c r="J144" s="63">
        <v>50</v>
      </c>
      <c r="K144" s="63">
        <v>50</v>
      </c>
      <c r="M144" t="s">
        <v>193</v>
      </c>
    </row>
    <row r="145" spans="2:19">
      <c r="C145" s="21" t="s">
        <v>93</v>
      </c>
      <c r="D145" s="68"/>
      <c r="E145" s="68">
        <f>E62</f>
        <v>431</v>
      </c>
      <c r="F145" s="68">
        <f>F62</f>
        <v>560</v>
      </c>
      <c r="G145" s="100">
        <f ca="1">SUM(G142:G144)</f>
        <v>50</v>
      </c>
      <c r="H145" s="100">
        <f t="shared" ref="H145:K145" ca="1" si="69">SUM(H142:H144)</f>
        <v>50</v>
      </c>
      <c r="I145" s="100">
        <f t="shared" ca="1" si="69"/>
        <v>50</v>
      </c>
      <c r="J145" s="100">
        <f t="shared" ca="1" si="69"/>
        <v>50</v>
      </c>
      <c r="K145" s="100">
        <f t="shared" ca="1" si="69"/>
        <v>50</v>
      </c>
    </row>
    <row r="146" spans="2:19">
      <c r="C146" s="81" t="s">
        <v>124</v>
      </c>
      <c r="D146" s="86"/>
      <c r="E146" s="86"/>
      <c r="F146" s="87"/>
      <c r="G146" s="82" t="str">
        <f ca="1">IF(G145&lt;0,"Negative Debt","OK")</f>
        <v>OK</v>
      </c>
      <c r="H146" s="82" t="str">
        <f ca="1">IF(H145&lt;0,"Negative Debt","OK")</f>
        <v>OK</v>
      </c>
      <c r="I146" s="82" t="str">
        <f ca="1">IF(I145&lt;0,"Negative Debt","OK")</f>
        <v>OK</v>
      </c>
      <c r="J146" s="82" t="str">
        <f ca="1">IF(J145&lt;0,"Negative Debt","OK")</f>
        <v>OK</v>
      </c>
      <c r="K146" s="83" t="str">
        <f ca="1">IF(K145&lt;0,"Negative Debt","OK")</f>
        <v>OK</v>
      </c>
      <c r="S146" s="35"/>
    </row>
    <row r="147" spans="2:19">
      <c r="D147" s="19"/>
      <c r="E147" s="19"/>
      <c r="F147" s="84"/>
      <c r="G147" s="85"/>
      <c r="H147" s="85"/>
      <c r="I147" s="85"/>
      <c r="J147" s="85"/>
      <c r="K147" s="85"/>
      <c r="S147" s="35"/>
    </row>
    <row r="148" spans="2:19">
      <c r="B148" t="s">
        <v>172</v>
      </c>
      <c r="C148" s="6" t="s">
        <v>125</v>
      </c>
      <c r="D148" s="33"/>
      <c r="E148" s="33"/>
      <c r="F148" s="33"/>
      <c r="G148" s="34"/>
      <c r="H148" s="34"/>
      <c r="I148" s="34"/>
      <c r="J148" s="34"/>
      <c r="K148" s="34"/>
      <c r="R148" s="66"/>
    </row>
    <row r="149" spans="2:19">
      <c r="C149" s="27" t="str">
        <f>C15</f>
        <v xml:space="preserve">Fiscal year  </v>
      </c>
      <c r="D149" s="24">
        <f>E149-1</f>
        <v>2023</v>
      </c>
      <c r="E149" s="24">
        <f>F149-1</f>
        <v>2024</v>
      </c>
      <c r="F149" s="24">
        <v>2025</v>
      </c>
      <c r="G149" s="25">
        <v>2026</v>
      </c>
      <c r="H149" s="25">
        <f>G149+1</f>
        <v>2027</v>
      </c>
      <c r="I149" s="25">
        <f>H149+1</f>
        <v>2028</v>
      </c>
      <c r="J149" s="25">
        <f>I149+1</f>
        <v>2029</v>
      </c>
      <c r="K149" s="25">
        <f>J149+1</f>
        <v>2030</v>
      </c>
      <c r="R149" s="66"/>
      <c r="S149" s="35"/>
    </row>
    <row r="150" spans="2:19">
      <c r="C150" s="8" t="str">
        <f>C16</f>
        <v>Fiscal year end date</v>
      </c>
      <c r="D150" s="26">
        <f>DATE(2024,8,29)-364</f>
        <v>45169</v>
      </c>
      <c r="E150" s="26">
        <f>DATE(2025,8,28)-364</f>
        <v>45533</v>
      </c>
      <c r="F150" s="26">
        <f>D10</f>
        <v>45897</v>
      </c>
      <c r="G150" s="26">
        <f>DATE(2025,8,28)+364</f>
        <v>46261</v>
      </c>
      <c r="H150" s="26">
        <f>DATE(2026,8,27)+364</f>
        <v>46625</v>
      </c>
      <c r="I150" s="26">
        <f>DATE(2027,8,26)+371</f>
        <v>46996</v>
      </c>
      <c r="J150" s="26">
        <f>DATE(2028,8,31)+364</f>
        <v>47360</v>
      </c>
      <c r="K150" s="26">
        <f>DATE(2029,8,30)+364</f>
        <v>47724</v>
      </c>
      <c r="R150" s="66"/>
    </row>
    <row r="151" spans="2:19">
      <c r="C151" s="21"/>
      <c r="D151" s="19"/>
      <c r="E151" s="19"/>
      <c r="F151" s="19"/>
      <c r="G151" s="88"/>
      <c r="H151" s="88"/>
      <c r="I151" s="88"/>
      <c r="J151" s="88"/>
      <c r="K151" s="88"/>
      <c r="R151" s="66"/>
    </row>
    <row r="152" spans="2:19">
      <c r="C152" s="29" t="s">
        <v>186</v>
      </c>
      <c r="D152" s="19">
        <f>-(D27)</f>
        <v>388</v>
      </c>
      <c r="E152" s="19">
        <f>-(E27)</f>
        <v>562</v>
      </c>
      <c r="F152" s="19">
        <f>-(F27)</f>
        <v>477</v>
      </c>
      <c r="G152" s="60">
        <f ca="1">G157+G164</f>
        <v>430.14249999999993</v>
      </c>
      <c r="H152" s="60">
        <f ca="1">H157+H164</f>
        <v>417.39249999999993</v>
      </c>
      <c r="I152" s="60">
        <f ca="1">I157+I164</f>
        <v>417.39249999999993</v>
      </c>
      <c r="J152" s="60">
        <f ca="1">J157+J164</f>
        <v>417.39249999999993</v>
      </c>
      <c r="K152" s="60">
        <f ca="1">K157+K164</f>
        <v>417.39249999999993</v>
      </c>
      <c r="M152" t="s">
        <v>126</v>
      </c>
      <c r="R152" s="35"/>
    </row>
    <row r="153" spans="2:19">
      <c r="C153" s="40"/>
      <c r="R153" s="35"/>
    </row>
    <row r="154" spans="2:19">
      <c r="C154" s="62" t="s">
        <v>127</v>
      </c>
      <c r="R154" s="35"/>
    </row>
    <row r="155" spans="2:19">
      <c r="C155" s="21" t="s">
        <v>128</v>
      </c>
      <c r="E155" s="38">
        <v>0.05</v>
      </c>
      <c r="F155" s="38">
        <v>0.05</v>
      </c>
      <c r="G155" s="38">
        <v>0.05</v>
      </c>
      <c r="H155" s="38">
        <v>0.05</v>
      </c>
      <c r="I155" s="38">
        <v>0.05</v>
      </c>
      <c r="J155" s="38">
        <v>0.05</v>
      </c>
      <c r="K155" s="38">
        <v>0.05</v>
      </c>
      <c r="M155" t="s">
        <v>178</v>
      </c>
    </row>
    <row r="156" spans="2:19">
      <c r="C156" s="21" t="s">
        <v>129</v>
      </c>
      <c r="D156" s="68"/>
      <c r="E156" s="68">
        <f t="shared" ref="E156:K156" si="70">E62</f>
        <v>431</v>
      </c>
      <c r="F156" s="68">
        <f t="shared" si="70"/>
        <v>560</v>
      </c>
      <c r="G156" s="60">
        <f t="shared" ca="1" si="70"/>
        <v>50</v>
      </c>
      <c r="H156" s="60">
        <f t="shared" ca="1" si="70"/>
        <v>50</v>
      </c>
      <c r="I156" s="60">
        <f t="shared" ca="1" si="70"/>
        <v>50</v>
      </c>
      <c r="J156" s="60">
        <f t="shared" ca="1" si="70"/>
        <v>50</v>
      </c>
      <c r="K156" s="60">
        <f t="shared" ca="1" si="70"/>
        <v>50</v>
      </c>
      <c r="M156" t="s">
        <v>130</v>
      </c>
    </row>
    <row r="157" spans="2:19">
      <c r="C157" s="101" t="s">
        <v>131</v>
      </c>
      <c r="D157" s="19"/>
      <c r="E157" s="30">
        <f>IF($D$7=1,AVERAGE(D156:E156)*E155,0)</f>
        <v>21.55</v>
      </c>
      <c r="F157" s="30">
        <f t="shared" ref="F157:K157" si="71">IF($D$7=1,AVERAGE(E156:F156)*F155,0)</f>
        <v>24.775000000000002</v>
      </c>
      <c r="G157" s="30">
        <f t="shared" ca="1" si="71"/>
        <v>15.25</v>
      </c>
      <c r="H157" s="30">
        <f ca="1">IF($D$7=1,AVERAGE(G156:H156)*H155,0)</f>
        <v>2.5</v>
      </c>
      <c r="I157" s="30">
        <f t="shared" ca="1" si="71"/>
        <v>2.5</v>
      </c>
      <c r="J157" s="30">
        <f t="shared" ca="1" si="71"/>
        <v>2.5</v>
      </c>
      <c r="K157" s="30">
        <f t="shared" ca="1" si="71"/>
        <v>2.5</v>
      </c>
      <c r="M157" t="s">
        <v>132</v>
      </c>
    </row>
    <row r="158" spans="2:19">
      <c r="C158" s="50"/>
      <c r="D158" s="19"/>
      <c r="E158" s="19"/>
      <c r="F158" s="19"/>
    </row>
    <row r="159" spans="2:19">
      <c r="C159" s="62" t="s">
        <v>80</v>
      </c>
      <c r="D159" s="19"/>
      <c r="E159" s="19"/>
      <c r="F159" s="19"/>
    </row>
    <row r="160" spans="2:19">
      <c r="C160" s="21" t="s">
        <v>190</v>
      </c>
      <c r="D160" s="19"/>
      <c r="E160" s="19"/>
      <c r="F160" s="19"/>
      <c r="G160" s="19">
        <f>AVERAGE(F63:G63)</f>
        <v>14017</v>
      </c>
      <c r="H160" s="19">
        <f>AVERAGE(G63:H63)</f>
        <v>14017</v>
      </c>
      <c r="I160" s="19">
        <f>AVERAGE(H63:I63)</f>
        <v>14017</v>
      </c>
      <c r="J160" s="19">
        <f>AVERAGE(I63:J63)</f>
        <v>14017</v>
      </c>
      <c r="K160" s="19">
        <f>AVERAGE(J63:K63)</f>
        <v>14017</v>
      </c>
      <c r="M160" t="s">
        <v>133</v>
      </c>
    </row>
    <row r="161" spans="2:18">
      <c r="C161" s="21" t="s">
        <v>128</v>
      </c>
      <c r="E161" s="61"/>
      <c r="F161" s="61"/>
      <c r="G161" s="169">
        <v>5.2499999999999998E-2</v>
      </c>
      <c r="H161" s="169">
        <v>5.2499999999999998E-2</v>
      </c>
      <c r="I161" s="169">
        <v>5.2499999999999998E-2</v>
      </c>
      <c r="J161" s="169">
        <v>5.2499999999999998E-2</v>
      </c>
      <c r="K161" s="169">
        <v>5.2499999999999998E-2</v>
      </c>
      <c r="M161" t="s">
        <v>195</v>
      </c>
      <c r="R161" s="66"/>
    </row>
    <row r="162" spans="2:18">
      <c r="C162" s="21" t="s">
        <v>188</v>
      </c>
      <c r="E162" s="19"/>
      <c r="F162" s="19"/>
      <c r="G162" s="60">
        <f t="shared" ref="G162:K162" si="72">IF($D$7=1,G161*G160,0)</f>
        <v>735.89249999999993</v>
      </c>
      <c r="H162" s="60">
        <f t="shared" si="72"/>
        <v>735.89249999999993</v>
      </c>
      <c r="I162" s="60">
        <f t="shared" si="72"/>
        <v>735.89249999999993</v>
      </c>
      <c r="J162" s="60">
        <f t="shared" si="72"/>
        <v>735.89249999999993</v>
      </c>
      <c r="K162" s="60">
        <f t="shared" si="72"/>
        <v>735.89249999999993</v>
      </c>
      <c r="M162" t="s">
        <v>191</v>
      </c>
      <c r="R162" s="66"/>
    </row>
    <row r="163" spans="2:18">
      <c r="C163" s="21" t="s">
        <v>187</v>
      </c>
      <c r="E163" s="63"/>
      <c r="F163" s="63"/>
      <c r="G163" s="63">
        <v>321</v>
      </c>
      <c r="H163" s="63">
        <v>321</v>
      </c>
      <c r="I163" s="63">
        <v>321</v>
      </c>
      <c r="J163" s="63">
        <v>321</v>
      </c>
      <c r="K163" s="63">
        <v>321</v>
      </c>
      <c r="R163" s="66"/>
    </row>
    <row r="164" spans="2:18">
      <c r="C164" s="36" t="s">
        <v>134</v>
      </c>
      <c r="D164" s="30"/>
      <c r="E164" s="30">
        <f>E152-E157</f>
        <v>540.45000000000005</v>
      </c>
      <c r="F164" s="30">
        <f>F152-F157</f>
        <v>452.22500000000002</v>
      </c>
      <c r="G164" s="30">
        <f t="shared" ref="G164:K164" si="73">G162-G163</f>
        <v>414.89249999999993</v>
      </c>
      <c r="H164" s="30">
        <f t="shared" si="73"/>
        <v>414.89249999999993</v>
      </c>
      <c r="I164" s="30">
        <f t="shared" si="73"/>
        <v>414.89249999999993</v>
      </c>
      <c r="J164" s="30">
        <f t="shared" si="73"/>
        <v>414.89249999999993</v>
      </c>
      <c r="K164" s="30">
        <f t="shared" si="73"/>
        <v>414.89249999999993</v>
      </c>
      <c r="M164" t="s">
        <v>135</v>
      </c>
    </row>
    <row r="165" spans="2:18">
      <c r="E165" s="19"/>
    </row>
    <row r="166" spans="2:18">
      <c r="C166" s="40" t="s">
        <v>136</v>
      </c>
      <c r="E166" s="19"/>
      <c r="F166" s="19"/>
    </row>
    <row r="167" spans="2:18">
      <c r="C167" s="21" t="s">
        <v>189</v>
      </c>
      <c r="E167" s="19"/>
      <c r="F167" s="19"/>
      <c r="G167" s="60">
        <f ca="1">AVERAGE(F48:G48)</f>
        <v>16594.473060072523</v>
      </c>
      <c r="H167" s="60">
        <f ca="1">AVERAGE(G48:H48)</f>
        <v>28557.286265544288</v>
      </c>
      <c r="I167" s="60">
        <f ca="1">AVERAGE(H48:I48)</f>
        <v>43816.469863910119</v>
      </c>
      <c r="J167" s="60">
        <f ca="1">AVERAGE(I48:J48)</f>
        <v>59157.170484971604</v>
      </c>
      <c r="K167" s="60">
        <f ca="1">AVERAGE(J48:K48)</f>
        <v>72823.604445808043</v>
      </c>
    </row>
    <row r="168" spans="2:18">
      <c r="C168" s="21" t="s">
        <v>137</v>
      </c>
      <c r="D168" s="37"/>
      <c r="E168" s="37"/>
      <c r="F168" s="37"/>
      <c r="G168" s="37">
        <v>0.04</v>
      </c>
      <c r="H168" s="37">
        <v>0.04</v>
      </c>
      <c r="I168" s="37">
        <v>0.04</v>
      </c>
      <c r="J168" s="37">
        <v>0.04</v>
      </c>
      <c r="K168" s="37">
        <v>0.04</v>
      </c>
      <c r="M168" t="s">
        <v>179</v>
      </c>
    </row>
    <row r="169" spans="2:18">
      <c r="C169" s="21" t="s">
        <v>22</v>
      </c>
      <c r="D169" s="19">
        <f>D26</f>
        <v>468</v>
      </c>
      <c r="E169" s="19">
        <f>E26</f>
        <v>529</v>
      </c>
      <c r="F169" s="19">
        <f>F26</f>
        <v>496</v>
      </c>
      <c r="G169" s="19">
        <f ca="1">IF($D$7=1,G168*G167,0)</f>
        <v>663.778922402901</v>
      </c>
      <c r="H169" s="19">
        <f ca="1">IF($D$7=1,H168*G48,0)</f>
        <v>850.11784480580184</v>
      </c>
      <c r="I169" s="19">
        <f ca="1">IF($D$7=1,I168*H48,0)</f>
        <v>1434.4650564377412</v>
      </c>
      <c r="J169" s="19">
        <f ca="1">IF($D$7=1,J168*I48,0)</f>
        <v>2070.8525326750682</v>
      </c>
      <c r="K169" s="19">
        <f ca="1">IF($D$7=1,K168*J48,0)</f>
        <v>2661.7211061226599</v>
      </c>
      <c r="M169" t="s">
        <v>138</v>
      </c>
    </row>
    <row r="171" spans="2:18">
      <c r="B171" t="s">
        <v>172</v>
      </c>
      <c r="C171" s="6" t="s">
        <v>152</v>
      </c>
      <c r="D171" s="6"/>
      <c r="E171" s="6"/>
      <c r="F171" s="6"/>
      <c r="G171" s="6"/>
      <c r="H171" s="6"/>
      <c r="I171" s="6"/>
      <c r="J171" s="6"/>
      <c r="K171" s="6"/>
      <c r="R171" t="s">
        <v>203</v>
      </c>
    </row>
    <row r="172" spans="2:18">
      <c r="C172" s="27" t="str">
        <f t="shared" ref="C172:K172" si="74">C15</f>
        <v xml:space="preserve">Fiscal year  </v>
      </c>
      <c r="D172" s="24">
        <f t="shared" si="74"/>
        <v>2023</v>
      </c>
      <c r="E172" s="24">
        <f t="shared" si="74"/>
        <v>2024</v>
      </c>
      <c r="F172" s="24">
        <f t="shared" si="74"/>
        <v>2025</v>
      </c>
      <c r="G172" s="25">
        <f t="shared" si="74"/>
        <v>2026</v>
      </c>
      <c r="H172" s="25">
        <f t="shared" si="74"/>
        <v>2027</v>
      </c>
      <c r="I172" s="25">
        <f t="shared" si="74"/>
        <v>2028</v>
      </c>
      <c r="J172" s="25">
        <f t="shared" si="74"/>
        <v>2029</v>
      </c>
      <c r="K172" s="25">
        <f t="shared" si="74"/>
        <v>2030</v>
      </c>
    </row>
    <row r="173" spans="2:18">
      <c r="C173" s="8" t="str">
        <f t="shared" ref="C173:K173" si="75">C16</f>
        <v>Fiscal year end date</v>
      </c>
      <c r="D173" s="26">
        <f t="shared" si="75"/>
        <v>45169</v>
      </c>
      <c r="E173" s="26">
        <f t="shared" si="75"/>
        <v>45533</v>
      </c>
      <c r="F173" s="26">
        <f t="shared" si="75"/>
        <v>45897</v>
      </c>
      <c r="G173" s="26">
        <f t="shared" si="75"/>
        <v>46261</v>
      </c>
      <c r="H173" s="26">
        <f t="shared" si="75"/>
        <v>46625</v>
      </c>
      <c r="I173" s="26">
        <f t="shared" si="75"/>
        <v>46996</v>
      </c>
      <c r="J173" s="26">
        <f t="shared" si="75"/>
        <v>47360</v>
      </c>
      <c r="K173" s="26">
        <f t="shared" si="75"/>
        <v>47724</v>
      </c>
    </row>
    <row r="174" spans="2:18">
      <c r="G174" s="23"/>
      <c r="H174" s="23"/>
      <c r="I174" s="23"/>
      <c r="J174" s="22"/>
      <c r="K174" s="22"/>
    </row>
    <row r="175" spans="2:18">
      <c r="C175" t="s">
        <v>32</v>
      </c>
      <c r="D175" s="60">
        <f t="shared" ref="D175:K175" si="76">D31</f>
        <v>-5835</v>
      </c>
      <c r="E175" s="60">
        <f t="shared" si="76"/>
        <v>789</v>
      </c>
      <c r="F175" s="60">
        <f t="shared" si="76"/>
        <v>8530</v>
      </c>
      <c r="G175" s="60">
        <f t="shared" ca="1" si="76"/>
        <v>19099.431685819036</v>
      </c>
      <c r="H175" s="60">
        <f t="shared" ca="1" si="76"/>
        <v>21142.276987135097</v>
      </c>
      <c r="I175" s="60">
        <f t="shared" ca="1" si="76"/>
        <v>20188.214284398928</v>
      </c>
      <c r="J175" s="60">
        <f t="shared" ca="1" si="76"/>
        <v>17810.207814348774</v>
      </c>
      <c r="K175" s="60">
        <f t="shared" ca="1" si="76"/>
        <v>14946.657023224145</v>
      </c>
      <c r="M175" t="s">
        <v>153</v>
      </c>
    </row>
    <row r="176" spans="2:18">
      <c r="C176" t="s">
        <v>154</v>
      </c>
      <c r="D176" s="59">
        <v>1093</v>
      </c>
      <c r="E176" s="59">
        <v>1105</v>
      </c>
      <c r="F176" s="59">
        <v>1116</v>
      </c>
      <c r="G176" s="60">
        <f ca="1">F176-(G182+G183)/G185</f>
        <v>1118.9765020276818</v>
      </c>
      <c r="H176" s="60">
        <f ca="1">G176-(H182+H183)/H185</f>
        <v>1122.8440166306009</v>
      </c>
      <c r="I176" s="60">
        <f ca="1">H176-(I182+I183)/I185</f>
        <v>1127.4180601035089</v>
      </c>
      <c r="J176" s="60">
        <f ca="1">I176-(J182+J183)/J185</f>
        <v>1132.9871417795791</v>
      </c>
      <c r="K176" s="60">
        <f ca="1">J176-(K182+K183)/K185</f>
        <v>1140.1023508529931</v>
      </c>
      <c r="M176" t="s">
        <v>155</v>
      </c>
    </row>
    <row r="177" spans="2:13">
      <c r="C177" s="17" t="s">
        <v>156</v>
      </c>
      <c r="D177" s="123">
        <f>D175/D176</f>
        <v>-5.3385178408051237</v>
      </c>
      <c r="E177" s="123">
        <f t="shared" ref="E177:K177" si="77">E175/E176</f>
        <v>0.71402714932126699</v>
      </c>
      <c r="F177" s="123">
        <f>F175/F176</f>
        <v>7.6433691756272397</v>
      </c>
      <c r="G177" s="123">
        <f ca="1">G175/G176</f>
        <v>17.068661988173318</v>
      </c>
      <c r="H177" s="123">
        <f t="shared" ca="1" si="77"/>
        <v>18.829219975342838</v>
      </c>
      <c r="I177" s="123">
        <f t="shared" ca="1" si="77"/>
        <v>17.906591173947877</v>
      </c>
      <c r="J177" s="123">
        <f t="shared" ca="1" si="77"/>
        <v>15.71969103406976</v>
      </c>
      <c r="K177" s="123">
        <f t="shared" ca="1" si="77"/>
        <v>13.109925623819185</v>
      </c>
      <c r="M177" t="s">
        <v>157</v>
      </c>
    </row>
    <row r="178" spans="2:13">
      <c r="D178" s="4"/>
      <c r="E178" s="4"/>
      <c r="F178" s="4"/>
      <c r="G178" s="19"/>
    </row>
    <row r="179" spans="2:13">
      <c r="C179" t="s">
        <v>158</v>
      </c>
      <c r="D179" s="59">
        <f>D176</f>
        <v>1093</v>
      </c>
      <c r="E179" s="59">
        <f>E176+13</f>
        <v>1118</v>
      </c>
      <c r="F179" s="59">
        <f t="shared" ref="F179" si="78">F176+9</f>
        <v>1125</v>
      </c>
      <c r="G179" s="60">
        <f ca="1">(F179-F176)+G176</f>
        <v>1127.9765020276818</v>
      </c>
      <c r="H179" s="60">
        <f ca="1">(G179-G176)+H176</f>
        <v>1131.8440166306009</v>
      </c>
      <c r="I179" s="60">
        <f ca="1">(H179-H176)+I176</f>
        <v>1136.4180601035089</v>
      </c>
      <c r="J179" s="60">
        <f ca="1">(I179-I176)+J176</f>
        <v>1141.9871417795791</v>
      </c>
      <c r="K179" s="60">
        <f ca="1">(J179-J176)+K176</f>
        <v>1149.1023508529931</v>
      </c>
      <c r="M179" t="s">
        <v>159</v>
      </c>
    </row>
    <row r="180" spans="2:13">
      <c r="C180" s="17" t="s">
        <v>160</v>
      </c>
      <c r="D180" s="123">
        <f t="shared" ref="D180:K180" si="79">D175/D179</f>
        <v>-5.3385178408051237</v>
      </c>
      <c r="E180" s="123">
        <f t="shared" si="79"/>
        <v>0.70572450805008946</v>
      </c>
      <c r="F180" s="123">
        <f>F175/F179</f>
        <v>7.5822222222222226</v>
      </c>
      <c r="G180" s="123">
        <f ca="1">G175/G179</f>
        <v>16.932473018263561</v>
      </c>
      <c r="H180" s="123">
        <f t="shared" ca="1" si="79"/>
        <v>18.679497065394028</v>
      </c>
      <c r="I180" s="123">
        <f t="shared" ca="1" si="79"/>
        <v>17.764777763704419</v>
      </c>
      <c r="J180" s="123">
        <f t="shared" ca="1" si="79"/>
        <v>15.595804158175378</v>
      </c>
      <c r="K180" s="123">
        <f t="shared" ca="1" si="79"/>
        <v>13.007246057872088</v>
      </c>
      <c r="M180" t="s">
        <v>161</v>
      </c>
    </row>
    <row r="181" spans="2:13">
      <c r="G181" s="121"/>
    </row>
    <row r="182" spans="2:13">
      <c r="C182" t="s">
        <v>162</v>
      </c>
      <c r="G182" s="60">
        <f>-(G128)</f>
        <v>306</v>
      </c>
      <c r="H182" s="60">
        <f>-(H128)</f>
        <v>306</v>
      </c>
      <c r="I182" s="60">
        <f>-(I128)</f>
        <v>306</v>
      </c>
      <c r="J182" s="60">
        <f>-(J128)</f>
        <v>306</v>
      </c>
      <c r="K182" s="60">
        <f>-(K128)</f>
        <v>306</v>
      </c>
      <c r="M182" t="s">
        <v>163</v>
      </c>
    </row>
    <row r="183" spans="2:13">
      <c r="C183" t="s">
        <v>164</v>
      </c>
      <c r="D183" s="150"/>
      <c r="G183" s="60">
        <f ca="1">-(G35)</f>
        <v>-1417.7234996346513</v>
      </c>
      <c r="H183" s="60">
        <f ca="1">-(H35)</f>
        <v>-1755.8185882365667</v>
      </c>
      <c r="I183" s="60">
        <f ca="1">-(I35)</f>
        <v>-1937.7048713490954</v>
      </c>
      <c r="J183" s="60">
        <f ca="1">-(J35)</f>
        <v>-2051.598833173643</v>
      </c>
      <c r="K183" s="60">
        <f ca="1">-(K35)</f>
        <v>-2168.5181628997393</v>
      </c>
      <c r="M183" t="s">
        <v>165</v>
      </c>
    </row>
    <row r="184" spans="2:13">
      <c r="C184" t="s">
        <v>205</v>
      </c>
      <c r="G184" s="151">
        <v>22</v>
      </c>
      <c r="H184" s="151">
        <v>20</v>
      </c>
      <c r="I184" s="151">
        <v>20</v>
      </c>
      <c r="J184" s="151">
        <v>20</v>
      </c>
      <c r="K184" s="151">
        <v>20</v>
      </c>
    </row>
    <row r="185" spans="2:13">
      <c r="C185" t="s">
        <v>216</v>
      </c>
      <c r="F185" s="121"/>
      <c r="G185" s="149">
        <f ca="1">G184*G175/F179</f>
        <v>373.49999741157228</v>
      </c>
      <c r="H185" s="149">
        <f t="shared" ref="H185:J185" ca="1" si="80">H184*H175/G179</f>
        <v>374.87087628384376</v>
      </c>
      <c r="I185" s="149">
        <f t="shared" ca="1" si="80"/>
        <v>356.73138679475375</v>
      </c>
      <c r="J185" s="149">
        <f t="shared" ca="1" si="80"/>
        <v>313.44464576225687</v>
      </c>
      <c r="K185" s="149">
        <f ca="1">K184*K175/J179</f>
        <v>261.76576734362351</v>
      </c>
      <c r="M185" t="s">
        <v>206</v>
      </c>
    </row>
    <row r="186" spans="2:13">
      <c r="H186" s="122"/>
      <c r="I186" s="122"/>
      <c r="J186" s="122"/>
      <c r="K186" s="122"/>
    </row>
    <row r="187" spans="2:13">
      <c r="C187" s="42"/>
      <c r="D187" s="61"/>
      <c r="E187" s="61"/>
      <c r="F187" s="61"/>
      <c r="G187" s="61"/>
      <c r="H187" s="61"/>
    </row>
    <row r="188" spans="2:13">
      <c r="B188" t="s">
        <v>172</v>
      </c>
      <c r="C188" s="6" t="s">
        <v>139</v>
      </c>
      <c r="D188" s="6"/>
      <c r="E188" s="6"/>
      <c r="F188" s="6"/>
      <c r="G188" s="6"/>
      <c r="H188" s="6"/>
      <c r="I188" s="6"/>
      <c r="J188" s="6"/>
      <c r="K188" s="6"/>
    </row>
    <row r="189" spans="2:13">
      <c r="C189" s="17"/>
    </row>
    <row r="190" spans="2:13" ht="15.75" thickBot="1">
      <c r="C190" s="45" t="s">
        <v>215</v>
      </c>
      <c r="D190" s="46"/>
      <c r="E190" s="46"/>
      <c r="F190" s="46"/>
      <c r="G190" s="46"/>
      <c r="H190" s="46"/>
      <c r="I190" s="46"/>
    </row>
    <row r="191" spans="2:13">
      <c r="D191" s="17"/>
      <c r="E191" s="126" t="s">
        <v>140</v>
      </c>
      <c r="F191" s="47"/>
      <c r="G191" s="47"/>
      <c r="H191" s="47"/>
      <c r="I191" s="47"/>
    </row>
    <row r="192" spans="2:13" ht="15.75" thickBot="1">
      <c r="D192" s="127">
        <f ca="1">G31</f>
        <v>19099.431685819036</v>
      </c>
      <c r="E192" s="128">
        <v>0.1</v>
      </c>
      <c r="F192" s="128">
        <v>0.2</v>
      </c>
      <c r="G192" s="128">
        <v>0.3</v>
      </c>
      <c r="H192" s="128">
        <v>0.4</v>
      </c>
      <c r="I192" s="128">
        <v>0.5</v>
      </c>
    </row>
    <row r="193" spans="3:9">
      <c r="C193" s="48"/>
      <c r="D193" s="129">
        <v>0.5</v>
      </c>
      <c r="E193" s="130">
        <f t="dataTable" ref="E193:I198" dt2D="1" dtr="1" r1="G39" r2="G40" ca="1"/>
        <v>12709.879852444268</v>
      </c>
      <c r="F193" s="130">
        <v>14282.941704592513</v>
      </c>
      <c r="G193" s="130">
        <v>15856.003556742253</v>
      </c>
      <c r="H193" s="130">
        <v>17429.065408891991</v>
      </c>
      <c r="I193" s="130">
        <v>19002.127261041729</v>
      </c>
    </row>
    <row r="194" spans="3:9">
      <c r="C194" s="125" t="s">
        <v>141</v>
      </c>
      <c r="D194" s="129">
        <v>0.45</v>
      </c>
      <c r="E194" s="130">
        <v>10966.148910860993</v>
      </c>
      <c r="F194" s="130">
        <v>12380.689768319411</v>
      </c>
      <c r="G194" s="130">
        <v>13795.230625779723</v>
      </c>
      <c r="H194" s="130">
        <v>15209.771483240034</v>
      </c>
      <c r="I194" s="130">
        <v>16624.312340700344</v>
      </c>
    </row>
    <row r="195" spans="3:9">
      <c r="C195" s="125" t="s">
        <v>142</v>
      </c>
      <c r="D195" s="129">
        <v>0.4</v>
      </c>
      <c r="E195" s="130">
        <v>9222.4179692770595</v>
      </c>
      <c r="F195" s="130">
        <v>10478.437832046309</v>
      </c>
      <c r="G195" s="130">
        <v>11734.457694817194</v>
      </c>
      <c r="H195" s="130">
        <v>12990.477557588074</v>
      </c>
      <c r="I195" s="130">
        <v>14246.497420358961</v>
      </c>
    </row>
    <row r="196" spans="3:9">
      <c r="C196" s="125" t="s">
        <v>143</v>
      </c>
      <c r="D196" s="129">
        <v>0.35</v>
      </c>
      <c r="E196" s="130">
        <v>7478.6870276931177</v>
      </c>
      <c r="F196" s="130">
        <v>8576.1858957732093</v>
      </c>
      <c r="G196" s="130">
        <v>9673.6847638546624</v>
      </c>
      <c r="H196" s="130">
        <v>10771.183631936114</v>
      </c>
      <c r="I196" s="130">
        <v>11868.682500017567</v>
      </c>
    </row>
    <row r="197" spans="3:9">
      <c r="D197" s="129">
        <v>0.3</v>
      </c>
      <c r="E197" s="130">
        <v>5734.9560861091795</v>
      </c>
      <c r="F197" s="130">
        <v>6673.933959496715</v>
      </c>
      <c r="G197" s="130">
        <v>7612.911832888738</v>
      </c>
      <c r="H197" s="130">
        <v>8551.8897062807609</v>
      </c>
      <c r="I197" s="130">
        <v>9490.8675796727839</v>
      </c>
    </row>
    <row r="198" spans="3:9">
      <c r="D198" s="129">
        <v>0.25</v>
      </c>
      <c r="E198" s="130">
        <v>3989.8887720663924</v>
      </c>
      <c r="F198" s="130">
        <v>4770.394451584988</v>
      </c>
      <c r="G198" s="130">
        <v>5550.9001311818993</v>
      </c>
      <c r="H198" s="130">
        <v>6331.4058107788087</v>
      </c>
      <c r="I198" s="130">
        <v>7111.9114903757209</v>
      </c>
    </row>
    <row r="199" spans="3:9">
      <c r="D199" s="152"/>
      <c r="E199" s="130"/>
      <c r="F199" s="130"/>
      <c r="G199" s="130"/>
      <c r="H199" s="130"/>
      <c r="I199" s="130"/>
    </row>
    <row r="200" spans="3:9" ht="15.75" thickBot="1">
      <c r="C200" s="45" t="s">
        <v>226</v>
      </c>
      <c r="D200" s="45"/>
      <c r="E200" s="45"/>
      <c r="F200" s="45"/>
      <c r="G200" s="45"/>
      <c r="H200" s="45"/>
      <c r="I200" s="45"/>
    </row>
    <row r="201" spans="3:9">
      <c r="D201" s="152"/>
      <c r="E201" s="153" t="s">
        <v>214</v>
      </c>
      <c r="F201" s="154"/>
      <c r="G201" s="154"/>
      <c r="H201" s="154"/>
      <c r="I201" s="154"/>
    </row>
    <row r="202" spans="3:9" ht="15.75" thickBot="1">
      <c r="D202" s="155">
        <f ca="1">G180</f>
        <v>16.932473018263561</v>
      </c>
      <c r="E202" s="128">
        <v>0.1</v>
      </c>
      <c r="F202" s="128">
        <v>0.2</v>
      </c>
      <c r="G202" s="128">
        <v>0.3</v>
      </c>
      <c r="H202" s="128">
        <v>0.4</v>
      </c>
      <c r="I202" s="128">
        <v>0.5</v>
      </c>
    </row>
    <row r="203" spans="3:9">
      <c r="D203" s="129">
        <v>0.5</v>
      </c>
      <c r="E203" s="156">
        <f t="dataTable" ref="E203:I208" dt2D="1" dtr="1" r1="G39" r2="G40" ca="1"/>
        <v>11.266918553349706</v>
      </c>
      <c r="F203" s="156">
        <v>12.661279474234846</v>
      </c>
      <c r="G203" s="156">
        <v>14.055640396657775</v>
      </c>
      <c r="H203" s="156">
        <v>15.450001320200967</v>
      </c>
      <c r="I203" s="156">
        <v>16.84436224458619</v>
      </c>
    </row>
    <row r="204" spans="3:9">
      <c r="C204" s="125" t="s">
        <v>141</v>
      </c>
      <c r="D204" s="129">
        <v>0.45</v>
      </c>
      <c r="E204" s="156">
        <v>9.716948798931238</v>
      </c>
      <c r="F204" s="156">
        <v>10.97040340377157</v>
      </c>
      <c r="G204" s="156">
        <v>12.223858008976807</v>
      </c>
      <c r="H204" s="156">
        <v>13.477312614443699</v>
      </c>
      <c r="I204" s="156">
        <v>14.730767220105461</v>
      </c>
    </row>
    <row r="205" spans="3:9">
      <c r="C205" s="125" t="s">
        <v>142</v>
      </c>
      <c r="D205" s="129">
        <v>0.4</v>
      </c>
      <c r="E205" s="156">
        <v>8.1669840568617271</v>
      </c>
      <c r="F205" s="156">
        <v>9.2795325926907637</v>
      </c>
      <c r="G205" s="156">
        <v>10.39208114090405</v>
      </c>
      <c r="H205" s="156">
        <v>11.504629697908728</v>
      </c>
      <c r="I205" s="156">
        <v>12.617178261379935</v>
      </c>
    </row>
    <row r="206" spans="3:9">
      <c r="C206" s="125" t="s">
        <v>143</v>
      </c>
      <c r="D206" s="129">
        <v>0.35</v>
      </c>
      <c r="E206" s="156">
        <v>6.6170278169925636</v>
      </c>
      <c r="F206" s="156">
        <v>7.588670524797859</v>
      </c>
      <c r="G206" s="156">
        <v>8.5603133041440405</v>
      </c>
      <c r="H206" s="156">
        <v>9.5319561331709437</v>
      </c>
      <c r="I206" s="156">
        <v>10.503598998101918</v>
      </c>
    </row>
    <row r="207" spans="3:9">
      <c r="D207" s="129">
        <v>0.3</v>
      </c>
      <c r="E207" s="156">
        <v>5.067087788053521</v>
      </c>
      <c r="F207" s="156">
        <v>5.8978246326711643</v>
      </c>
      <c r="G207" s="156">
        <v>6.7285617911771061</v>
      </c>
      <c r="H207" s="156">
        <v>7.5592991602684556</v>
      </c>
      <c r="I207" s="156">
        <v>8.3900366774929562</v>
      </c>
    </row>
    <row r="208" spans="3:9">
      <c r="D208" s="129">
        <v>0.25</v>
      </c>
      <c r="E208" s="156">
        <v>3.515997235797637</v>
      </c>
      <c r="F208" s="156">
        <v>4.2058696722058047</v>
      </c>
      <c r="G208" s="156">
        <v>4.8957435742926743</v>
      </c>
      <c r="H208" s="156">
        <v>5.5856184009954886</v>
      </c>
      <c r="I208" s="156">
        <v>6.275493848409206</v>
      </c>
    </row>
    <row r="210" spans="2:16">
      <c r="B210" t="s">
        <v>172</v>
      </c>
      <c r="C210" s="6" t="s">
        <v>144</v>
      </c>
      <c r="D210" s="6"/>
      <c r="E210" s="6"/>
      <c r="F210" s="6"/>
      <c r="G210" s="6"/>
      <c r="H210" s="6"/>
      <c r="I210" s="6"/>
      <c r="J210" s="6"/>
      <c r="K210" s="6"/>
    </row>
    <row r="211" spans="2:16" ht="15.75" thickBot="1"/>
    <row r="212" spans="2:16" ht="15.75" thickBot="1">
      <c r="C212" t="s">
        <v>145</v>
      </c>
      <c r="D212" s="145" t="str">
        <f>D12</f>
        <v>Base Case</v>
      </c>
    </row>
    <row r="213" spans="2:16" ht="15.75" thickBot="1">
      <c r="D213" s="146"/>
    </row>
    <row r="214" spans="2:16">
      <c r="D214" s="24"/>
      <c r="E214" s="24"/>
      <c r="F214" s="107" t="s">
        <v>146</v>
      </c>
      <c r="G214" s="25">
        <f t="shared" ref="G214:K215" si="81">G15</f>
        <v>2026</v>
      </c>
      <c r="H214" s="25">
        <f t="shared" si="81"/>
        <v>2027</v>
      </c>
      <c r="I214" s="25">
        <f t="shared" si="81"/>
        <v>2028</v>
      </c>
      <c r="J214" s="25">
        <f t="shared" si="81"/>
        <v>2029</v>
      </c>
      <c r="K214" s="25">
        <f t="shared" si="81"/>
        <v>2030</v>
      </c>
    </row>
    <row r="215" spans="2:16">
      <c r="D215" s="26"/>
      <c r="E215" s="26"/>
      <c r="F215" s="102" t="s">
        <v>147</v>
      </c>
      <c r="G215" s="26">
        <f t="shared" si="81"/>
        <v>46261</v>
      </c>
      <c r="H215" s="26">
        <f t="shared" si="81"/>
        <v>46625</v>
      </c>
      <c r="I215" s="26">
        <f t="shared" si="81"/>
        <v>46996</v>
      </c>
      <c r="J215" s="26">
        <f t="shared" si="81"/>
        <v>47360</v>
      </c>
      <c r="K215" s="26">
        <f t="shared" si="81"/>
        <v>47724</v>
      </c>
    </row>
    <row r="216" spans="2:16">
      <c r="C216" s="135" t="s">
        <v>201</v>
      </c>
      <c r="D216" s="60"/>
      <c r="E216" s="60"/>
      <c r="F216" s="157" t="str">
        <f ca="1">OFFSET(F$224,MATCH($C216,$C$224:$C$248,0)+MATCH($D$212,$C$225:$C$228,0)-1,0)</f>
        <v>NM</v>
      </c>
      <c r="G216" s="60">
        <f ca="1">OFFSET(G$224,MATCH($C216,$C$224:$C$248,0)+MATCH($D$212,$C$225:$C$228,0)-1,0)</f>
        <v>43135.793999999994</v>
      </c>
      <c r="H216" s="60">
        <f t="shared" ref="H216:K216" ca="1" si="82">OFFSET(H$224,MATCH($C216,$C$224:$C$248,0)+MATCH($D$212,$C$225:$C$228,0)-1,0)</f>
        <v>54001.700508599992</v>
      </c>
      <c r="I216" s="60">
        <f t="shared" ca="1" si="82"/>
        <v>59715.080422409876</v>
      </c>
      <c r="J216" s="60">
        <f t="shared" ca="1" si="82"/>
        <v>63309.928263838949</v>
      </c>
      <c r="K216" s="60">
        <f t="shared" ca="1" si="82"/>
        <v>67121.185945322053</v>
      </c>
      <c r="M216" s="120"/>
      <c r="N216" s="120"/>
      <c r="O216" s="120"/>
      <c r="P216" s="120"/>
    </row>
    <row r="217" spans="2:16">
      <c r="C217" s="135" t="s">
        <v>202</v>
      </c>
      <c r="D217" s="60"/>
      <c r="E217" s="60"/>
      <c r="F217" s="157" t="str">
        <f t="shared" ref="F217" ca="1" si="83">OFFSET(F$224,MATCH($C217,$C$224:$C$248,0)+MATCH($D$212,$C$225:$C$228,0)-1,0)</f>
        <v>NM</v>
      </c>
      <c r="G217" s="60">
        <f ca="1">OFFSET(G$224,MATCH($C217,$C$224:$C$248,0)+MATCH($D$212,$C$225:$C$228,0)-1,0)</f>
        <v>10949.7</v>
      </c>
      <c r="H217" s="60">
        <f ca="1">OFFSET(H$224,MATCH($C217,$C$224:$C$248,0)+MATCH($D$212,$C$225:$C$228,0)-1,0)</f>
        <v>12981.964320000003</v>
      </c>
      <c r="I217" s="60">
        <f ca="1">OFFSET(I$224,MATCH($C217,$C$224:$C$248,0)+MATCH($D$212,$C$225:$C$228,0)-1,0)</f>
        <v>14207.461751808003</v>
      </c>
      <c r="J217" s="60">
        <f ca="1">OFFSET(J$224,MATCH($C217,$C$224:$C$248,0)+MATCH($D$212,$C$225:$C$228,0)-1,0)</f>
        <v>14957.615732303466</v>
      </c>
      <c r="K217" s="60">
        <f ca="1">OFFSET(K$224,MATCH($C217,$C$224:$C$248,0)+MATCH($D$212,$C$225:$C$228,0)-1,0)</f>
        <v>15606.776255085439</v>
      </c>
      <c r="M217" s="120"/>
      <c r="N217" s="120"/>
      <c r="O217" s="120"/>
      <c r="P217" s="120"/>
    </row>
    <row r="218" spans="2:16">
      <c r="C218" s="135" t="s">
        <v>204</v>
      </c>
      <c r="D218" s="60"/>
      <c r="E218" s="60"/>
      <c r="F218" s="157" t="str">
        <f ca="1">IFERROR(OFFSET(F$225,MATCH($C218,$C$224:$C$248,0)+MATCH($D$212,$C$225:$C$228,0)-1,0),"N/A")</f>
        <v>N/A</v>
      </c>
      <c r="G218" s="60">
        <f ca="1">SUM(G216:G217)*1.008</f>
        <v>54518.177951999991</v>
      </c>
      <c r="H218" s="60">
        <f t="shared" ref="H218:K218" ca="1" si="84">SUM(H216:H217)*1.008</f>
        <v>67519.534147228798</v>
      </c>
      <c r="I218" s="60">
        <f t="shared" ca="1" si="84"/>
        <v>74513.922511611614</v>
      </c>
      <c r="J218" s="60">
        <f t="shared" ca="1" si="84"/>
        <v>78893.68434811155</v>
      </c>
      <c r="K218" s="60">
        <f t="shared" ca="1" si="84"/>
        <v>83389.785898010756</v>
      </c>
      <c r="M218" t="s">
        <v>224</v>
      </c>
      <c r="N218" s="120"/>
      <c r="O218" s="120"/>
      <c r="P218" s="120"/>
    </row>
    <row r="219" spans="2:16">
      <c r="C219" s="21" t="s">
        <v>140</v>
      </c>
      <c r="D219" s="21"/>
      <c r="E219" s="21"/>
      <c r="F219" s="131" t="str">
        <f ca="1">IFERROR(OFFSET(F$225,MATCH($C219,$C$224:$C$248,0)+MATCH($D$212,$C$225:$C$228,0)-1,0),"N/A")</f>
        <v>N/A</v>
      </c>
      <c r="G219" s="5">
        <f ca="1">(G218/F18)-1</f>
        <v>0.45856327122906504</v>
      </c>
      <c r="H219" s="5">
        <f ca="1">H218/G218-1</f>
        <v>0.23847745254208097</v>
      </c>
      <c r="I219" s="5">
        <f t="shared" ref="I219:K219" ca="1" si="85">I218/H218-1</f>
        <v>0.10359058978593216</v>
      </c>
      <c r="J219" s="5">
        <f t="shared" ca="1" si="85"/>
        <v>5.8777765132649318E-2</v>
      </c>
      <c r="K219" s="5">
        <f t="shared" ca="1" si="85"/>
        <v>5.6989372305906505E-2</v>
      </c>
      <c r="M219" s="120"/>
      <c r="N219" s="120"/>
      <c r="O219" s="120"/>
      <c r="P219" s="120"/>
    </row>
    <row r="220" spans="2:16">
      <c r="C220" s="21" t="s">
        <v>42</v>
      </c>
      <c r="F220" s="131" t="str">
        <f t="shared" ref="F220:K222" ca="1" si="86">OFFSET(F$224,MATCH($C220,$C$224:$C$248,0)+MATCH($D$212,$C$225:$C$228,0)-1,0)</f>
        <v>NM</v>
      </c>
      <c r="G220" s="5">
        <f t="shared" ca="1" si="86"/>
        <v>0.51619999999999999</v>
      </c>
      <c r="H220" s="5">
        <f t="shared" ca="1" si="86"/>
        <v>0.45619999999999999</v>
      </c>
      <c r="I220" s="5">
        <f t="shared" ca="1" si="86"/>
        <v>0.3962</v>
      </c>
      <c r="J220" s="5">
        <f t="shared" ca="1" si="86"/>
        <v>0.3362</v>
      </c>
      <c r="K220" s="5">
        <f t="shared" ca="1" si="86"/>
        <v>0.2762</v>
      </c>
      <c r="M220" s="120"/>
      <c r="N220" s="120"/>
      <c r="O220" s="120"/>
      <c r="P220" s="120"/>
    </row>
    <row r="221" spans="2:16">
      <c r="C221" s="21" t="s">
        <v>43</v>
      </c>
      <c r="F221" s="131" t="str">
        <f t="shared" ca="1" si="86"/>
        <v>NM</v>
      </c>
      <c r="G221" s="5">
        <f t="shared" ca="1" si="86"/>
        <v>8.7999999999999995E-2</v>
      </c>
      <c r="H221" s="5">
        <f t="shared" ca="1" si="86"/>
        <v>9.2399999999999996E-2</v>
      </c>
      <c r="I221" s="5">
        <f t="shared" ca="1" si="86"/>
        <v>9.1999999999999998E-2</v>
      </c>
      <c r="J221" s="5">
        <f t="shared" ca="1" si="86"/>
        <v>9.1999999999999998E-2</v>
      </c>
      <c r="K221" s="5">
        <f t="shared" ca="1" si="86"/>
        <v>9.1999999999999998E-2</v>
      </c>
      <c r="M221" s="120"/>
      <c r="N221" s="120"/>
      <c r="O221" s="120"/>
      <c r="P221" s="120"/>
    </row>
    <row r="222" spans="2:16">
      <c r="C222" s="21" t="s">
        <v>44</v>
      </c>
      <c r="F222" s="131" t="str">
        <f t="shared" ca="1" si="86"/>
        <v>NM</v>
      </c>
      <c r="G222" s="5">
        <f t="shared" ca="1" si="86"/>
        <v>2.5000000000000001E-2</v>
      </c>
      <c r="H222" s="5">
        <f t="shared" ca="1" si="86"/>
        <v>2.5000000000000001E-2</v>
      </c>
      <c r="I222" s="5">
        <f t="shared" ca="1" si="86"/>
        <v>2.5000000000000001E-2</v>
      </c>
      <c r="J222" s="5">
        <f t="shared" ca="1" si="86"/>
        <v>2.5000000000000001E-2</v>
      </c>
      <c r="K222" s="5">
        <f t="shared" ca="1" si="86"/>
        <v>2.5000000000000001E-2</v>
      </c>
      <c r="M222" s="120"/>
      <c r="N222" s="120"/>
      <c r="O222" s="120"/>
      <c r="P222" s="120"/>
    </row>
    <row r="223" spans="2:16">
      <c r="F223" s="103"/>
    </row>
    <row r="224" spans="2:16">
      <c r="C224" s="136" t="s">
        <v>201</v>
      </c>
      <c r="D224" s="95"/>
      <c r="E224" s="95"/>
      <c r="F224" s="147"/>
      <c r="G224" s="95"/>
      <c r="H224" s="95"/>
      <c r="I224" s="95"/>
      <c r="J224" s="95"/>
      <c r="K224" s="95"/>
    </row>
    <row r="225" spans="3:22">
      <c r="C225" s="137" t="s">
        <v>148</v>
      </c>
      <c r="D225" s="95"/>
      <c r="E225" s="95"/>
      <c r="F225" s="148">
        <v>1.1000000000000001</v>
      </c>
      <c r="G225" s="60">
        <f>G226*$F$225</f>
        <v>47449.373399999997</v>
      </c>
      <c r="H225" s="60">
        <f>H226*$F$225</f>
        <v>59401.870559459996</v>
      </c>
      <c r="I225" s="60">
        <f t="shared" ref="I225:K225" si="87">I226*$F$225</f>
        <v>65686.588464650864</v>
      </c>
      <c r="J225" s="60">
        <f t="shared" si="87"/>
        <v>69640.921090222851</v>
      </c>
      <c r="K225" s="60">
        <f t="shared" si="87"/>
        <v>73833.30453985426</v>
      </c>
      <c r="T225" s="35"/>
      <c r="U225" s="35"/>
      <c r="V225" s="35"/>
    </row>
    <row r="226" spans="3:22">
      <c r="C226" s="137" t="s">
        <v>149</v>
      </c>
      <c r="D226" s="95"/>
      <c r="E226" s="95"/>
      <c r="F226" s="138" t="s">
        <v>150</v>
      </c>
      <c r="G226" s="168">
        <f>'Revenue Build'!G8</f>
        <v>43135.793999999994</v>
      </c>
      <c r="H226" s="168">
        <f>'Revenue Build'!H8</f>
        <v>54001.700508599992</v>
      </c>
      <c r="I226" s="168">
        <f>'Revenue Build'!I8</f>
        <v>59715.080422409876</v>
      </c>
      <c r="J226" s="168">
        <f>'Revenue Build'!J8</f>
        <v>63309.928263838949</v>
      </c>
      <c r="K226" s="168">
        <f>'Revenue Build'!K8</f>
        <v>67121.185945322053</v>
      </c>
      <c r="L226" s="20" t="s">
        <v>212</v>
      </c>
      <c r="M226" t="s">
        <v>210</v>
      </c>
      <c r="O226" s="23"/>
      <c r="P226" s="23"/>
      <c r="Q226" s="23"/>
      <c r="R226" s="23"/>
      <c r="S226" s="23"/>
      <c r="T226" s="35"/>
      <c r="U226" s="35"/>
      <c r="V226" s="35"/>
    </row>
    <row r="227" spans="3:22">
      <c r="C227" s="137" t="s">
        <v>207</v>
      </c>
      <c r="D227" s="95"/>
      <c r="E227" s="95"/>
      <c r="F227" s="148" t="s">
        <v>209</v>
      </c>
      <c r="G227" s="59">
        <f>53685*L227</f>
        <v>42948</v>
      </c>
      <c r="H227" s="59">
        <f>57494*L227</f>
        <v>45995.200000000004</v>
      </c>
      <c r="I227" s="59">
        <f>57678*L227</f>
        <v>46142.400000000001</v>
      </c>
      <c r="J227" s="59">
        <f>59317*L227</f>
        <v>47453.600000000006</v>
      </c>
      <c r="K227" s="59">
        <f>60093*L227</f>
        <v>48074.400000000001</v>
      </c>
      <c r="L227" s="56">
        <v>0.8</v>
      </c>
      <c r="M227" t="s">
        <v>223</v>
      </c>
      <c r="O227" s="23"/>
      <c r="P227" s="23"/>
      <c r="Q227" s="23"/>
      <c r="R227" s="23"/>
      <c r="S227" s="23"/>
      <c r="T227" s="35"/>
      <c r="U227" s="35"/>
      <c r="V227" s="35"/>
    </row>
    <row r="228" spans="3:22">
      <c r="C228" s="137" t="s">
        <v>151</v>
      </c>
      <c r="D228" s="95"/>
      <c r="E228" s="95"/>
      <c r="F228" s="148">
        <v>0.75</v>
      </c>
      <c r="G228" s="60">
        <f>G226*$F$228</f>
        <v>32351.845499999996</v>
      </c>
      <c r="H228" s="60">
        <f>H226*$F$228</f>
        <v>40501.275381449996</v>
      </c>
      <c r="I228" s="60">
        <f t="shared" ref="I228:K228" si="88">I226*$F$228</f>
        <v>44786.310316807409</v>
      </c>
      <c r="J228" s="60">
        <f t="shared" si="88"/>
        <v>47482.44619787921</v>
      </c>
      <c r="K228" s="60">
        <f t="shared" si="88"/>
        <v>50340.889458991544</v>
      </c>
      <c r="O228" s="23"/>
      <c r="P228" s="23"/>
      <c r="Q228" s="23"/>
      <c r="R228" s="23"/>
      <c r="S228" s="23"/>
      <c r="T228" s="35"/>
      <c r="U228" s="35"/>
      <c r="V228" s="35"/>
    </row>
    <row r="229" spans="3:22">
      <c r="C229" s="139" t="s">
        <v>202</v>
      </c>
      <c r="D229" s="95"/>
      <c r="E229" s="95"/>
      <c r="F229" s="140"/>
      <c r="G229" s="92"/>
      <c r="H229" s="92"/>
      <c r="I229" s="92"/>
      <c r="J229" s="92"/>
      <c r="K229" s="92"/>
      <c r="O229" s="23"/>
      <c r="P229" s="23"/>
      <c r="Q229" s="23"/>
      <c r="R229" s="23"/>
      <c r="S229" s="23"/>
      <c r="T229" s="35"/>
      <c r="U229" s="35"/>
      <c r="V229" s="35"/>
    </row>
    <row r="230" spans="3:22">
      <c r="C230" s="137" t="s">
        <v>148</v>
      </c>
      <c r="D230" s="95"/>
      <c r="E230" s="95"/>
      <c r="F230" s="148">
        <v>1.1000000000000001</v>
      </c>
      <c r="G230" s="60">
        <f>G231*$F$230</f>
        <v>12044.670000000002</v>
      </c>
      <c r="H230" s="60">
        <f>H231*$F$230</f>
        <v>14280.160752000003</v>
      </c>
      <c r="I230" s="60">
        <f t="shared" ref="I230:K230" si="89">I231*$F$230</f>
        <v>15628.207926988805</v>
      </c>
      <c r="J230" s="60">
        <f t="shared" si="89"/>
        <v>16453.377305533813</v>
      </c>
      <c r="K230" s="60">
        <f t="shared" si="89"/>
        <v>17167.453880593985</v>
      </c>
      <c r="O230" s="23"/>
      <c r="P230" s="23"/>
      <c r="Q230" s="23"/>
      <c r="R230" s="23"/>
      <c r="S230" s="23"/>
    </row>
    <row r="231" spans="3:22">
      <c r="C231" s="137" t="s">
        <v>149</v>
      </c>
      <c r="D231" s="95"/>
      <c r="E231" s="95"/>
      <c r="F231" s="138" t="s">
        <v>150</v>
      </c>
      <c r="G231" s="168">
        <f>'Revenue Build'!G9</f>
        <v>10949.7</v>
      </c>
      <c r="H231" s="168">
        <f>'Revenue Build'!H9</f>
        <v>12981.964320000003</v>
      </c>
      <c r="I231" s="168">
        <f>'Revenue Build'!I9</f>
        <v>14207.461751808003</v>
      </c>
      <c r="J231" s="168">
        <f>'Revenue Build'!J9</f>
        <v>14957.615732303466</v>
      </c>
      <c r="K231" s="168">
        <f>'Revenue Build'!K9</f>
        <v>15606.776255085439</v>
      </c>
      <c r="L231" s="20" t="s">
        <v>212</v>
      </c>
      <c r="M231" t="s">
        <v>210</v>
      </c>
      <c r="O231" s="23"/>
      <c r="P231" s="23"/>
      <c r="Q231" s="23"/>
      <c r="R231" s="23"/>
      <c r="S231" s="23"/>
    </row>
    <row r="232" spans="3:22">
      <c r="C232" s="137" t="s">
        <v>207</v>
      </c>
      <c r="D232" s="95"/>
      <c r="E232" s="95"/>
      <c r="F232" s="148" t="s">
        <v>209</v>
      </c>
      <c r="G232" s="59">
        <f>53685*L232</f>
        <v>10737</v>
      </c>
      <c r="H232" s="59">
        <f>57494*L232</f>
        <v>11498.800000000001</v>
      </c>
      <c r="I232" s="59">
        <f>57678*L232</f>
        <v>11535.6</v>
      </c>
      <c r="J232" s="59">
        <f>59317*L232</f>
        <v>11863.400000000001</v>
      </c>
      <c r="K232" s="59">
        <f>60093*L232</f>
        <v>12018.6</v>
      </c>
      <c r="L232" s="56">
        <v>0.2</v>
      </c>
      <c r="M232" t="s">
        <v>222</v>
      </c>
      <c r="O232" s="23"/>
      <c r="P232" s="23"/>
      <c r="Q232" s="23"/>
      <c r="R232" s="23"/>
      <c r="S232" s="23"/>
    </row>
    <row r="233" spans="3:22">
      <c r="C233" s="137" t="s">
        <v>151</v>
      </c>
      <c r="D233" s="95"/>
      <c r="E233" s="95"/>
      <c r="F233" s="148">
        <v>0.75</v>
      </c>
      <c r="G233" s="60">
        <f>G231*$F$233</f>
        <v>8212.2750000000015</v>
      </c>
      <c r="H233" s="60">
        <f>H231*$F$233</f>
        <v>9736.473240000003</v>
      </c>
      <c r="I233" s="60">
        <f t="shared" ref="I233:K233" si="90">I231*$F$233</f>
        <v>10655.596313856002</v>
      </c>
      <c r="J233" s="60">
        <f t="shared" si="90"/>
        <v>11218.2117992276</v>
      </c>
      <c r="K233" s="60">
        <f t="shared" si="90"/>
        <v>11705.082191314079</v>
      </c>
      <c r="O233" s="23"/>
      <c r="P233" s="23"/>
      <c r="Q233" s="23"/>
      <c r="R233" s="23"/>
      <c r="S233" s="23"/>
    </row>
    <row r="234" spans="3:22">
      <c r="C234" s="36" t="s">
        <v>42</v>
      </c>
      <c r="F234" s="105"/>
      <c r="G234" s="23"/>
      <c r="H234" s="23"/>
      <c r="I234" s="23"/>
      <c r="J234" s="23"/>
      <c r="K234" s="23"/>
      <c r="O234" s="23"/>
      <c r="P234" s="23"/>
      <c r="Q234" s="23"/>
      <c r="R234" s="23"/>
      <c r="S234" s="23"/>
    </row>
    <row r="235" spans="3:22">
      <c r="C235" s="50" t="s">
        <v>148</v>
      </c>
      <c r="F235" s="104">
        <v>0.03</v>
      </c>
      <c r="G235" s="22">
        <f>G236+$F$235</f>
        <v>0.54620000000000002</v>
      </c>
      <c r="H235" s="22">
        <f t="shared" ref="H235:K235" si="91">H236+$F$235</f>
        <v>0.48619999999999997</v>
      </c>
      <c r="I235" s="22">
        <f t="shared" si="91"/>
        <v>0.42620000000000002</v>
      </c>
      <c r="J235" s="22">
        <f t="shared" si="91"/>
        <v>0.36619999999999997</v>
      </c>
      <c r="K235" s="22">
        <f t="shared" si="91"/>
        <v>0.30620000000000003</v>
      </c>
      <c r="L235" s="20" t="s">
        <v>95</v>
      </c>
    </row>
    <row r="236" spans="3:22">
      <c r="C236" s="50" t="s">
        <v>149</v>
      </c>
      <c r="F236" s="105" t="s">
        <v>150</v>
      </c>
      <c r="G236" s="23">
        <v>0.51619999999999999</v>
      </c>
      <c r="H236" s="23">
        <f>G236-$L$236</f>
        <v>0.45619999999999999</v>
      </c>
      <c r="I236" s="23">
        <f t="shared" ref="I236:K236" si="92">H236-$L$236</f>
        <v>0.3962</v>
      </c>
      <c r="J236" s="23">
        <f t="shared" si="92"/>
        <v>0.3362</v>
      </c>
      <c r="K236" s="23">
        <f t="shared" si="92"/>
        <v>0.2762</v>
      </c>
      <c r="L236" s="56">
        <v>0.06</v>
      </c>
      <c r="M236" t="s">
        <v>229</v>
      </c>
    </row>
    <row r="237" spans="3:22">
      <c r="C237" s="50" t="s">
        <v>207</v>
      </c>
      <c r="F237" s="105" t="s">
        <v>209</v>
      </c>
      <c r="G237" s="23">
        <v>0.51619999999999999</v>
      </c>
      <c r="H237" s="23">
        <v>0.48</v>
      </c>
      <c r="I237" s="23">
        <v>0.42</v>
      </c>
      <c r="J237" s="23">
        <v>0.4</v>
      </c>
      <c r="K237" s="23">
        <v>0.41</v>
      </c>
      <c r="M237" t="s">
        <v>208</v>
      </c>
    </row>
    <row r="238" spans="3:22">
      <c r="C238" s="50" t="s">
        <v>151</v>
      </c>
      <c r="F238" s="104">
        <v>-0.1</v>
      </c>
      <c r="G238" s="22">
        <f>G236+$F$238</f>
        <v>0.41620000000000001</v>
      </c>
      <c r="H238" s="22">
        <f>H236+$F$238</f>
        <v>0.35619999999999996</v>
      </c>
      <c r="I238" s="22">
        <f t="shared" ref="I238:K238" si="93">I236+$F$238</f>
        <v>0.29620000000000002</v>
      </c>
      <c r="J238" s="22">
        <f t="shared" si="93"/>
        <v>0.23619999999999999</v>
      </c>
      <c r="K238" s="22">
        <f t="shared" si="93"/>
        <v>0.1762</v>
      </c>
    </row>
    <row r="239" spans="3:22">
      <c r="C239" s="36" t="s">
        <v>43</v>
      </c>
      <c r="F239" s="105"/>
      <c r="G239" s="51"/>
      <c r="H239" s="51"/>
      <c r="I239" s="51"/>
      <c r="J239" s="51"/>
      <c r="K239" s="51"/>
    </row>
    <row r="240" spans="3:22">
      <c r="C240" s="50" t="s">
        <v>148</v>
      </c>
      <c r="F240" s="104">
        <v>-0.01</v>
      </c>
      <c r="G240" s="22">
        <f>G241+$F$240</f>
        <v>7.8E-2</v>
      </c>
      <c r="H240" s="22">
        <f t="shared" ref="H240:K240" si="94">H241+$F$240</f>
        <v>8.2400000000000001E-2</v>
      </c>
      <c r="I240" s="22">
        <f t="shared" si="94"/>
        <v>8.2000000000000003E-2</v>
      </c>
      <c r="J240" s="22">
        <f t="shared" si="94"/>
        <v>8.2000000000000003E-2</v>
      </c>
      <c r="K240" s="22">
        <f t="shared" si="94"/>
        <v>8.2000000000000003E-2</v>
      </c>
    </row>
    <row r="241" spans="3:13">
      <c r="C241" s="50" t="s">
        <v>149</v>
      </c>
      <c r="F241" s="105" t="s">
        <v>150</v>
      </c>
      <c r="G241" s="23">
        <v>8.7999999999999995E-2</v>
      </c>
      <c r="H241" s="23">
        <v>9.2399999999999996E-2</v>
      </c>
      <c r="I241" s="23">
        <v>9.1999999999999998E-2</v>
      </c>
      <c r="J241" s="23">
        <v>9.1999999999999998E-2</v>
      </c>
      <c r="K241" s="23">
        <v>9.1999999999999998E-2</v>
      </c>
      <c r="M241" t="s">
        <v>228</v>
      </c>
    </row>
    <row r="242" spans="3:13">
      <c r="C242" s="50" t="s">
        <v>207</v>
      </c>
      <c r="F242" s="105" t="s">
        <v>209</v>
      </c>
      <c r="G242" s="23">
        <v>8.7999999999999995E-2</v>
      </c>
      <c r="H242" s="23">
        <v>8.7999999999999995E-2</v>
      </c>
      <c r="I242" s="23">
        <v>9.1999999999999998E-2</v>
      </c>
      <c r="J242" s="23">
        <v>9.4E-2</v>
      </c>
      <c r="K242" s="23">
        <v>9.7000000000000003E-2</v>
      </c>
      <c r="M242" t="s">
        <v>208</v>
      </c>
    </row>
    <row r="243" spans="3:13">
      <c r="C243" s="50" t="s">
        <v>151</v>
      </c>
      <c r="F243" s="104">
        <v>0.01</v>
      </c>
      <c r="G243" s="22">
        <f>G241+$F$243</f>
        <v>9.799999999999999E-2</v>
      </c>
      <c r="H243" s="22">
        <f t="shared" ref="H243:K243" si="95">H241+$F$243</f>
        <v>0.10239999999999999</v>
      </c>
      <c r="I243" s="22">
        <f t="shared" si="95"/>
        <v>0.10199999999999999</v>
      </c>
      <c r="J243" s="22">
        <f t="shared" si="95"/>
        <v>0.10199999999999999</v>
      </c>
      <c r="K243" s="22">
        <f t="shared" si="95"/>
        <v>0.10199999999999999</v>
      </c>
    </row>
    <row r="244" spans="3:13">
      <c r="C244" s="36" t="s">
        <v>44</v>
      </c>
      <c r="F244" s="105"/>
      <c r="G244" s="51"/>
      <c r="H244" s="51"/>
      <c r="I244" s="51"/>
      <c r="J244" s="51"/>
      <c r="K244" s="51"/>
    </row>
    <row r="245" spans="3:13">
      <c r="C245" s="50" t="s">
        <v>148</v>
      </c>
      <c r="F245" s="104">
        <v>-0.01</v>
      </c>
      <c r="G245" s="22">
        <f>G246+$F$245</f>
        <v>1.5000000000000001E-2</v>
      </c>
      <c r="H245" s="22">
        <f t="shared" ref="H245:K245" si="96">H246+$F$245</f>
        <v>1.5000000000000001E-2</v>
      </c>
      <c r="I245" s="22">
        <f t="shared" si="96"/>
        <v>1.5000000000000001E-2</v>
      </c>
      <c r="J245" s="22">
        <f t="shared" si="96"/>
        <v>1.5000000000000001E-2</v>
      </c>
      <c r="K245" s="22">
        <f t="shared" si="96"/>
        <v>1.5000000000000001E-2</v>
      </c>
    </row>
    <row r="246" spans="3:13">
      <c r="C246" s="50" t="s">
        <v>149</v>
      </c>
      <c r="F246" s="105" t="s">
        <v>150</v>
      </c>
      <c r="G246" s="23">
        <v>2.5000000000000001E-2</v>
      </c>
      <c r="H246" s="23">
        <v>2.5000000000000001E-2</v>
      </c>
      <c r="I246" s="23">
        <v>2.5000000000000001E-2</v>
      </c>
      <c r="J246" s="23">
        <v>2.5000000000000001E-2</v>
      </c>
      <c r="K246" s="23">
        <v>2.5000000000000001E-2</v>
      </c>
      <c r="M246" t="s">
        <v>228</v>
      </c>
    </row>
    <row r="247" spans="3:13">
      <c r="C247" s="50" t="s">
        <v>207</v>
      </c>
      <c r="F247" s="105" t="s">
        <v>209</v>
      </c>
      <c r="G247" s="23">
        <v>2.5000000000000001E-2</v>
      </c>
      <c r="H247" s="23">
        <v>2.5000000000000001E-2</v>
      </c>
      <c r="I247" s="23">
        <v>2.5000000000000001E-2</v>
      </c>
      <c r="J247" s="23">
        <v>2.5000000000000001E-2</v>
      </c>
      <c r="K247" s="23">
        <v>2.5999999999999999E-2</v>
      </c>
      <c r="M247" t="s">
        <v>208</v>
      </c>
    </row>
    <row r="248" spans="3:13" ht="15.75" thickBot="1">
      <c r="C248" s="50" t="s">
        <v>151</v>
      </c>
      <c r="F248" s="106">
        <v>0.01</v>
      </c>
      <c r="G248" s="22">
        <f>G246+$F$170</f>
        <v>2.5000000000000001E-2</v>
      </c>
      <c r="H248" s="22">
        <f>H246+$F$170</f>
        <v>2.5000000000000001E-2</v>
      </c>
      <c r="I248" s="22">
        <f>I246+$F$170</f>
        <v>2.5000000000000001E-2</v>
      </c>
      <c r="J248" s="22">
        <f>J246+$F$170</f>
        <v>2.5000000000000001E-2</v>
      </c>
      <c r="K248" s="22">
        <f>K246+$F$170</f>
        <v>2.5000000000000001E-2</v>
      </c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Case,Analyst Case,Best Case"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Q18" sqref="Q18"/>
    </sheetView>
  </sheetViews>
  <sheetFormatPr defaultRowHeight="15"/>
  <cols>
    <col min="1" max="2" width="1.7109375" customWidth="1"/>
    <col min="3" max="3" width="27.5703125" bestFit="1" customWidth="1"/>
  </cols>
  <sheetData>
    <row r="2" spans="3:16">
      <c r="C2" s="6" t="s">
        <v>166</v>
      </c>
      <c r="D2" s="7"/>
      <c r="E2" s="8"/>
      <c r="F2" s="8"/>
      <c r="G2" s="8"/>
      <c r="H2" s="8"/>
      <c r="I2" s="8"/>
      <c r="J2" s="8"/>
      <c r="K2" s="8"/>
    </row>
    <row r="3" spans="3:16">
      <c r="C3" t="s">
        <v>9</v>
      </c>
      <c r="D3" s="24"/>
      <c r="E3" s="24">
        <v>2024</v>
      </c>
      <c r="F3" s="24">
        <v>2025</v>
      </c>
      <c r="G3" s="158">
        <v>2026</v>
      </c>
      <c r="H3" s="24">
        <f>G3+1</f>
        <v>2027</v>
      </c>
      <c r="I3" s="24">
        <f t="shared" ref="I3:K3" si="0">H3+1</f>
        <v>2028</v>
      </c>
      <c r="J3" s="24">
        <f t="shared" si="0"/>
        <v>2029</v>
      </c>
      <c r="K3" s="24">
        <f t="shared" si="0"/>
        <v>2030</v>
      </c>
    </row>
    <row r="4" spans="3:16">
      <c r="C4" s="13" t="s">
        <v>10</v>
      </c>
      <c r="D4" s="116"/>
      <c r="E4" s="116">
        <f>DATE(2025,8,28)-364</f>
        <v>45533</v>
      </c>
      <c r="F4" s="116">
        <f>'FSM Forecast'!D10</f>
        <v>45897</v>
      </c>
      <c r="G4" s="116">
        <f>DATE(2025,8,28)+364</f>
        <v>46261</v>
      </c>
      <c r="H4" s="116">
        <f>DATE(2026,8,27)+364</f>
        <v>46625</v>
      </c>
      <c r="I4" s="116">
        <f>DATE(2027,8,26)+371</f>
        <v>46996</v>
      </c>
      <c r="J4" s="116">
        <f>DATE(2028,8,31)+364</f>
        <v>47360</v>
      </c>
      <c r="K4" s="116">
        <f>DATE(2029,8,30)+364</f>
        <v>47724</v>
      </c>
    </row>
    <row r="5" spans="3:16">
      <c r="C5" s="117" t="s">
        <v>167</v>
      </c>
      <c r="D5" s="118"/>
      <c r="E5" s="118"/>
      <c r="F5" s="118"/>
      <c r="G5" s="118"/>
      <c r="H5" s="118"/>
      <c r="I5" s="118"/>
      <c r="J5" s="118"/>
      <c r="K5" s="118"/>
    </row>
    <row r="6" spans="3:16">
      <c r="C6" s="119" t="s">
        <v>168</v>
      </c>
      <c r="D6" s="2"/>
      <c r="E6" s="24"/>
      <c r="F6" s="165"/>
      <c r="G6" s="158"/>
      <c r="H6" s="24"/>
      <c r="I6" s="24"/>
      <c r="J6" s="24"/>
      <c r="K6" s="165"/>
    </row>
    <row r="7" spans="3:16">
      <c r="C7" s="21"/>
      <c r="D7" s="4"/>
      <c r="E7" s="116"/>
      <c r="F7" s="116"/>
      <c r="G7" s="133"/>
      <c r="H7" s="16"/>
      <c r="I7" s="16"/>
      <c r="J7" s="16"/>
      <c r="K7" s="124"/>
      <c r="O7" s="109"/>
      <c r="P7" s="109"/>
    </row>
    <row r="8" spans="3:16">
      <c r="C8" s="21" t="s">
        <v>217</v>
      </c>
      <c r="D8" s="4"/>
      <c r="E8" s="4">
        <v>17600</v>
      </c>
      <c r="F8" s="134">
        <v>28580</v>
      </c>
      <c r="G8" s="133">
        <f>F8*(1+G22)</f>
        <v>43135.793999999994</v>
      </c>
      <c r="H8" s="16">
        <f t="shared" ref="H8:K8" si="1">G8*(1+H22)</f>
        <v>54001.700508599992</v>
      </c>
      <c r="I8" s="16">
        <f t="shared" si="1"/>
        <v>59715.080422409876</v>
      </c>
      <c r="J8" s="16">
        <f t="shared" si="1"/>
        <v>63309.928263838949</v>
      </c>
      <c r="K8" s="124">
        <f t="shared" si="1"/>
        <v>67121.185945322053</v>
      </c>
      <c r="O8" s="35"/>
      <c r="P8" s="35"/>
    </row>
    <row r="9" spans="3:16">
      <c r="C9" s="21" t="s">
        <v>218</v>
      </c>
      <c r="D9" s="4"/>
      <c r="E9" s="4">
        <v>7230</v>
      </c>
      <c r="F9" s="4">
        <v>8500</v>
      </c>
      <c r="G9" s="133">
        <f>F9*(1+G23)</f>
        <v>10949.7</v>
      </c>
      <c r="H9" s="16">
        <f t="shared" ref="H9:K9" si="2">G9*(1+H23)</f>
        <v>12981.964320000003</v>
      </c>
      <c r="I9" s="16">
        <f t="shared" si="2"/>
        <v>14207.461751808003</v>
      </c>
      <c r="J9" s="16">
        <f t="shared" si="2"/>
        <v>14957.615732303466</v>
      </c>
      <c r="K9" s="124">
        <f t="shared" si="2"/>
        <v>15606.776255085439</v>
      </c>
      <c r="O9" s="35"/>
      <c r="P9" s="35"/>
    </row>
    <row r="10" spans="3:16">
      <c r="C10" s="21" t="s">
        <v>220</v>
      </c>
      <c r="D10" s="4"/>
      <c r="E10" s="4">
        <f>SUM(E8:E9)</f>
        <v>24830</v>
      </c>
      <c r="F10" s="134">
        <f t="shared" ref="F10:K10" si="3">SUM(F8:F9)</f>
        <v>37080</v>
      </c>
      <c r="G10" s="16">
        <f t="shared" si="3"/>
        <v>54085.493999999992</v>
      </c>
      <c r="H10" s="16">
        <f t="shared" si="3"/>
        <v>66983.664828599998</v>
      </c>
      <c r="I10" s="16">
        <f t="shared" si="3"/>
        <v>73922.542174217873</v>
      </c>
      <c r="J10" s="16">
        <f t="shared" si="3"/>
        <v>78267.543996142413</v>
      </c>
      <c r="K10" s="124">
        <f t="shared" si="3"/>
        <v>82727.962200407492</v>
      </c>
      <c r="O10" s="35"/>
      <c r="P10" s="35"/>
    </row>
    <row r="11" spans="3:16">
      <c r="C11" s="21" t="s">
        <v>169</v>
      </c>
      <c r="E11" s="5"/>
      <c r="F11" s="73">
        <f>F10/E10-1</f>
        <v>0.49335481272654058</v>
      </c>
      <c r="G11" s="5">
        <f>G10/F10-1</f>
        <v>0.45861634304207088</v>
      </c>
      <c r="H11" s="5">
        <f t="shared" ref="H11:K11" si="4">H10/G10-1</f>
        <v>0.23847745254208097</v>
      </c>
      <c r="I11" s="5">
        <f t="shared" si="4"/>
        <v>0.10359058978593216</v>
      </c>
      <c r="J11" s="5">
        <f t="shared" si="4"/>
        <v>5.8777765132649318E-2</v>
      </c>
      <c r="K11" s="73">
        <f t="shared" si="4"/>
        <v>5.6989372305906505E-2</v>
      </c>
    </row>
    <row r="12" spans="3:16">
      <c r="C12" s="50"/>
      <c r="E12" s="5"/>
      <c r="F12" s="73"/>
      <c r="G12" s="5"/>
      <c r="H12" s="5"/>
      <c r="I12" s="5"/>
      <c r="J12" s="5"/>
      <c r="K12" s="73"/>
    </row>
    <row r="13" spans="3:16">
      <c r="C13" s="113" t="s">
        <v>230</v>
      </c>
      <c r="D13" s="67"/>
      <c r="E13" s="67"/>
      <c r="F13" s="115"/>
      <c r="G13" s="67"/>
      <c r="H13" s="67"/>
      <c r="I13" s="67"/>
      <c r="J13" s="67"/>
      <c r="K13" s="72"/>
    </row>
    <row r="14" spans="3:16">
      <c r="C14" s="21" t="s">
        <v>217</v>
      </c>
      <c r="D14" s="4"/>
      <c r="E14" s="4"/>
      <c r="F14" s="134"/>
      <c r="G14" s="159">
        <v>0.17</v>
      </c>
      <c r="H14" s="159">
        <v>0.17</v>
      </c>
      <c r="I14" s="159">
        <v>0.14000000000000001</v>
      </c>
      <c r="J14" s="159">
        <v>0.14000000000000001</v>
      </c>
      <c r="K14" s="161">
        <v>0.14000000000000001</v>
      </c>
    </row>
    <row r="15" spans="3:16">
      <c r="C15" s="21" t="s">
        <v>218</v>
      </c>
      <c r="D15" s="4"/>
      <c r="E15" s="4"/>
      <c r="F15" s="134"/>
      <c r="G15" s="159">
        <v>0.14000000000000001</v>
      </c>
      <c r="H15" s="159">
        <v>0.14000000000000001</v>
      </c>
      <c r="I15" s="159">
        <v>0.14000000000000001</v>
      </c>
      <c r="J15" s="159">
        <v>0.12</v>
      </c>
      <c r="K15" s="164">
        <v>0.11</v>
      </c>
    </row>
    <row r="16" spans="3:16">
      <c r="F16" s="72"/>
      <c r="K16" s="72"/>
    </row>
    <row r="17" spans="3:16">
      <c r="C17" s="113" t="s">
        <v>219</v>
      </c>
      <c r="D17" s="67"/>
      <c r="E17" s="67"/>
      <c r="F17" s="115"/>
      <c r="H17" s="67"/>
      <c r="I17" s="67"/>
      <c r="J17" s="67"/>
      <c r="K17" s="72"/>
      <c r="P17" s="35"/>
    </row>
    <row r="18" spans="3:16">
      <c r="C18" s="21" t="s">
        <v>217</v>
      </c>
      <c r="D18" s="108"/>
      <c r="E18" s="108"/>
      <c r="F18" s="141"/>
      <c r="G18" s="160">
        <v>0.28999999999999998</v>
      </c>
      <c r="H18" s="159">
        <v>7.0000000000000007E-2</v>
      </c>
      <c r="I18" s="159">
        <v>-0.03</v>
      </c>
      <c r="J18" s="159">
        <v>-7.0000000000000007E-2</v>
      </c>
      <c r="K18" s="161">
        <v>-7.0000000000000007E-2</v>
      </c>
      <c r="P18" s="35"/>
    </row>
    <row r="19" spans="3:16">
      <c r="C19" s="21" t="s">
        <v>218</v>
      </c>
      <c r="D19" s="108"/>
      <c r="E19" s="108"/>
      <c r="F19" s="108"/>
      <c r="G19" s="163">
        <v>0.13</v>
      </c>
      <c r="H19" s="159">
        <v>0.04</v>
      </c>
      <c r="I19" s="159">
        <v>-0.04</v>
      </c>
      <c r="J19" s="159">
        <v>-0.06</v>
      </c>
      <c r="K19" s="164">
        <v>-0.06</v>
      </c>
    </row>
    <row r="20" spans="3:16">
      <c r="C20" s="21"/>
      <c r="D20" s="108"/>
      <c r="E20" s="108"/>
      <c r="F20" s="108"/>
      <c r="G20" s="110"/>
      <c r="H20" s="111"/>
      <c r="I20" s="111"/>
      <c r="J20" s="111"/>
      <c r="K20" s="112"/>
    </row>
    <row r="21" spans="3:16">
      <c r="C21" s="113" t="s">
        <v>221</v>
      </c>
      <c r="D21" s="67"/>
      <c r="E21" s="67"/>
      <c r="F21" s="67"/>
      <c r="G21" s="114"/>
      <c r="H21" s="67"/>
      <c r="I21" s="67"/>
      <c r="J21" s="67"/>
      <c r="K21" s="115"/>
      <c r="P21" s="35"/>
    </row>
    <row r="22" spans="3:16">
      <c r="C22" s="21" t="s">
        <v>217</v>
      </c>
      <c r="D22" s="58"/>
      <c r="E22" s="22"/>
      <c r="F22" s="22"/>
      <c r="G22" s="162">
        <f>(1+G14)*(1+G18)-1</f>
        <v>0.50929999999999986</v>
      </c>
      <c r="H22" s="166">
        <f t="shared" ref="H22:K22" si="5">(1+H14)*(1+H18)-1</f>
        <v>0.25190000000000001</v>
      </c>
      <c r="I22" s="166">
        <f t="shared" si="5"/>
        <v>0.10580000000000012</v>
      </c>
      <c r="J22" s="166">
        <f t="shared" si="5"/>
        <v>6.0200000000000031E-2</v>
      </c>
      <c r="K22" s="167">
        <f t="shared" si="5"/>
        <v>6.0200000000000031E-2</v>
      </c>
    </row>
    <row r="23" spans="3:16">
      <c r="C23" s="21" t="s">
        <v>218</v>
      </c>
      <c r="E23" s="22"/>
      <c r="F23" s="22"/>
      <c r="G23" s="162">
        <f>(1+G15)*(1+G19)-1</f>
        <v>0.28820000000000001</v>
      </c>
      <c r="H23" s="166">
        <f t="shared" ref="H23:K23" si="6">(1+H15)*(1+H19)-1</f>
        <v>0.18560000000000021</v>
      </c>
      <c r="I23" s="166">
        <f t="shared" si="6"/>
        <v>9.4400000000000039E-2</v>
      </c>
      <c r="J23" s="166">
        <f t="shared" si="6"/>
        <v>5.2799999999999958E-2</v>
      </c>
      <c r="K23" s="167">
        <f t="shared" si="6"/>
        <v>4.3400000000000105E-2</v>
      </c>
    </row>
    <row r="24" spans="3:16">
      <c r="C24" s="21"/>
      <c r="D24" s="58"/>
      <c r="E24" s="22"/>
      <c r="F24" s="22"/>
      <c r="G24" s="71"/>
      <c r="H24" s="22"/>
      <c r="I24" s="22"/>
      <c r="J24" s="22"/>
      <c r="K24" s="74"/>
    </row>
    <row r="25" spans="3:16">
      <c r="C25" s="50"/>
      <c r="G25" s="114"/>
      <c r="H25" s="67"/>
      <c r="I25" s="67"/>
      <c r="J25" s="67"/>
      <c r="K25" s="115"/>
      <c r="P25" s="3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3379-E0B7-4C62-ACC6-7113730BD65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2026-03-11T01:51:38Z</dcterms:modified>
</cp:coreProperties>
</file>